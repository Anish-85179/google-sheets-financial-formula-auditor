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Ledger_Data" sheetId="1" r:id="rId5"/>
    <sheet state="visible" name="Formula_Repair_Engine" sheetId="2" r:id="rId6"/>
    <sheet state="visible" name="Reconciliation_Matrix" sheetId="3" r:id="rId7"/>
    <sheet state="visible" name="Executive_Dashboard" sheetId="4" r:id="rId8"/>
  </sheets>
  <definedNames/>
  <calcPr/>
</workbook>
</file>

<file path=xl/sharedStrings.xml><?xml version="1.0" encoding="utf-8"?>
<sst xmlns="http://schemas.openxmlformats.org/spreadsheetml/2006/main" count="349" uniqueCount="235">
  <si>
    <t>Txn_ID</t>
  </si>
  <si>
    <t>Posting_Date</t>
  </si>
  <si>
    <t>Repaired_Cost</t>
  </si>
  <si>
    <t>GL_Account</t>
  </si>
  <si>
    <t>Subledger_Balance</t>
  </si>
  <si>
    <t>Vendor_ID</t>
  </si>
  <si>
    <t>Absolute_Variance</t>
  </si>
  <si>
    <t>Clean_Quantity</t>
  </si>
  <si>
    <t>Tolerance_Threshold</t>
  </si>
  <si>
    <t>Clean_Unit_Price</t>
  </si>
  <si>
    <t>Reconciliation_Status</t>
  </si>
  <si>
    <t>Quantity_Units</t>
  </si>
  <si>
    <t>Repaired_Extended_Cost</t>
  </si>
  <si>
    <t>Unit_Price_USD</t>
  </si>
  <si>
    <t>Repair_Audit_Status</t>
  </si>
  <si>
    <t>Raw_Extended_Cost</t>
  </si>
  <si>
    <t>Target_Subledger_Balance</t>
  </si>
  <si>
    <t>TXN-1001</t>
  </si>
  <si>
    <t>6001-OPEX</t>
  </si>
  <si>
    <t>VEND-801</t>
  </si>
  <si>
    <t>TXN-1002</t>
  </si>
  <si>
    <t>6002-CAPEX</t>
  </si>
  <si>
    <t>VEND-999</t>
  </si>
  <si>
    <t>TXN-1003</t>
  </si>
  <si>
    <t>VEND-803</t>
  </si>
  <si>
    <t>TXN-1004</t>
  </si>
  <si>
    <t>6003-SUPPLY</t>
  </si>
  <si>
    <t>VEND-804</t>
  </si>
  <si>
    <t>$15.50</t>
  </si>
  <si>
    <t>TXN-1005</t>
  </si>
  <si>
    <t>VEND-805</t>
  </si>
  <si>
    <t>TXN-1006</t>
  </si>
  <si>
    <t>6004-TRAVEL</t>
  </si>
  <si>
    <t>VEND-806</t>
  </si>
  <si>
    <t>INVALID_QTY</t>
  </si>
  <si>
    <t>TXN-1007</t>
  </si>
  <si>
    <t>VEND-807</t>
  </si>
  <si>
    <t>TXN-1008</t>
  </si>
  <si>
    <t>VEND-808</t>
  </si>
  <si>
    <t>TXN-1009</t>
  </si>
  <si>
    <t>TXN-1010</t>
  </si>
  <si>
    <t>VEND-810</t>
  </si>
  <si>
    <t>TXN-1011</t>
  </si>
  <si>
    <t>VEND-811</t>
  </si>
  <si>
    <t>TXN-1012</t>
  </si>
  <si>
    <t>VEND-812</t>
  </si>
  <si>
    <t>TXN-1013</t>
  </si>
  <si>
    <t>TXN-1014</t>
  </si>
  <si>
    <t>VEND-814</t>
  </si>
  <si>
    <t>$22.75</t>
  </si>
  <si>
    <t>TXN-1015</t>
  </si>
  <si>
    <t>VEND-815</t>
  </si>
  <si>
    <t>TXN-1016</t>
  </si>
  <si>
    <t>VEND-816</t>
  </si>
  <si>
    <t>ABC</t>
  </si>
  <si>
    <t>TXN-1017</t>
  </si>
  <si>
    <t>VEND-817</t>
  </si>
  <si>
    <t>TXN-1018</t>
  </si>
  <si>
    <t>VEND-818</t>
  </si>
  <si>
    <t>TXN-1019</t>
  </si>
  <si>
    <t>TXN-1020</t>
  </si>
  <si>
    <t>VEND-820</t>
  </si>
  <si>
    <t>TXN-1021</t>
  </si>
  <si>
    <t>VEND-821</t>
  </si>
  <si>
    <t>TXN-1022</t>
  </si>
  <si>
    <t>VEND-822</t>
  </si>
  <si>
    <t>TXN-1023</t>
  </si>
  <si>
    <t>VEND-823</t>
  </si>
  <si>
    <t>$35.00</t>
  </si>
  <si>
    <t>TXN-1024</t>
  </si>
  <si>
    <t>ENTERPRISE FINANCIAL AUDIT &amp; REPAIR EXECUTIVE CONSOLE</t>
  </si>
  <si>
    <t>VEND-824</t>
  </si>
  <si>
    <t>ERR</t>
  </si>
  <si>
    <t>TXN-1025</t>
  </si>
  <si>
    <t>VEND-825</t>
  </si>
  <si>
    <t>TXN-1026</t>
  </si>
  <si>
    <t>TXN-1027</t>
  </si>
  <si>
    <t>VEND-827</t>
  </si>
  <si>
    <t>TXN-1028</t>
  </si>
  <si>
    <t>VEND-828</t>
  </si>
  <si>
    <t>TXN-1029</t>
  </si>
  <si>
    <t>VEND-829</t>
  </si>
  <si>
    <t>TXN-1030</t>
  </si>
  <si>
    <t>VEND-830</t>
  </si>
  <si>
    <t>$110.00</t>
  </si>
  <si>
    <t>TXN-1031</t>
  </si>
  <si>
    <t>VEND-831</t>
  </si>
  <si>
    <t>TXN-1032</t>
  </si>
  <si>
    <t>VEND-832</t>
  </si>
  <si>
    <t>TXN-1033</t>
  </si>
  <si>
    <t>TXN-1034</t>
  </si>
  <si>
    <t>Total Transactions Audited</t>
  </si>
  <si>
    <t>VEND-834</t>
  </si>
  <si>
    <t>TXN-1035</t>
  </si>
  <si>
    <t>VEND-835</t>
  </si>
  <si>
    <t>TXN-1036</t>
  </si>
  <si>
    <t>Errors Trapped &amp; Repaired</t>
  </si>
  <si>
    <t>VEND-836</t>
  </si>
  <si>
    <t>N/A_PRICE</t>
  </si>
  <si>
    <t>Reconciliation Variances</t>
  </si>
  <si>
    <t>System Health Stability Score</t>
  </si>
  <si>
    <t>TXN-1037</t>
  </si>
  <si>
    <t>VEND-837</t>
  </si>
  <si>
    <t>TXN-1038</t>
  </si>
  <si>
    <t>VEND-838</t>
  </si>
  <si>
    <t>TXN-1039</t>
  </si>
  <si>
    <t>VEND-839</t>
  </si>
  <si>
    <t>TXN-1040</t>
  </si>
  <si>
    <t>VEND-840</t>
  </si>
  <si>
    <t>$8.50</t>
  </si>
  <si>
    <t>TXN-1041</t>
  </si>
  <si>
    <t>VEND-841</t>
  </si>
  <si>
    <t>TXN-1042</t>
  </si>
  <si>
    <t>VEND-842</t>
  </si>
  <si>
    <t>TXN-1043</t>
  </si>
  <si>
    <t>VEND-843</t>
  </si>
  <si>
    <t>TXN-1044</t>
  </si>
  <si>
    <t>VEND-844</t>
  </si>
  <si>
    <t>BAD_QTY</t>
  </si>
  <si>
    <t>TXN-1045</t>
  </si>
  <si>
    <t>VEND-845</t>
  </si>
  <si>
    <t>TXN-1046</t>
  </si>
  <si>
    <t>TXN-1047</t>
  </si>
  <si>
    <t>VEND-847</t>
  </si>
  <si>
    <t>TXN-1048</t>
  </si>
  <si>
    <t>VEND-848</t>
  </si>
  <si>
    <t>TXN-1049</t>
  </si>
  <si>
    <t>VEND-849</t>
  </si>
  <si>
    <t>TXN-1050</t>
  </si>
  <si>
    <t>VEND-850</t>
  </si>
  <si>
    <t>$18.25</t>
  </si>
  <si>
    <t>TXN-1051</t>
  </si>
  <si>
    <t>VEND-851</t>
  </si>
  <si>
    <t>TXN-1052</t>
  </si>
  <si>
    <t>VEND-852</t>
  </si>
  <si>
    <t>TXN-1053</t>
  </si>
  <si>
    <t>VEND-853</t>
  </si>
  <si>
    <t>TXN-1054</t>
  </si>
  <si>
    <t>VEND-854</t>
  </si>
  <si>
    <t>INVALID</t>
  </si>
  <si>
    <t>TXN-1055</t>
  </si>
  <si>
    <t>VEND-855</t>
  </si>
  <si>
    <t>TXN-1056</t>
  </si>
  <si>
    <t>TXN-1057</t>
  </si>
  <si>
    <t>VEND-857</t>
  </si>
  <si>
    <t>TXN-1058</t>
  </si>
  <si>
    <t>VEND-858</t>
  </si>
  <si>
    <t>TXN-1059</t>
  </si>
  <si>
    <t>VEND-859</t>
  </si>
  <si>
    <t>TXN-1060</t>
  </si>
  <si>
    <t>VEND-860</t>
  </si>
  <si>
    <t>$14.50</t>
  </si>
  <si>
    <t>TXN-1061</t>
  </si>
  <si>
    <t>VEND-861</t>
  </si>
  <si>
    <t>TXN-1062</t>
  </si>
  <si>
    <t>VEND-862</t>
  </si>
  <si>
    <t>TXN-1063</t>
  </si>
  <si>
    <t>TXN-1064</t>
  </si>
  <si>
    <t>VEND-864</t>
  </si>
  <si>
    <t>$40.00</t>
  </si>
  <si>
    <t>TXN-1065</t>
  </si>
  <si>
    <t>VEND-865</t>
  </si>
  <si>
    <t>TXN-1066</t>
  </si>
  <si>
    <t>VEND-866</t>
  </si>
  <si>
    <t>NULL_VAL</t>
  </si>
  <si>
    <t>TXN-1067</t>
  </si>
  <si>
    <t>VEND-867</t>
  </si>
  <si>
    <t>TXN-1068</t>
  </si>
  <si>
    <t>VEND-868</t>
  </si>
  <si>
    <t>TXN-1069</t>
  </si>
  <si>
    <t>TXN-1070</t>
  </si>
  <si>
    <t>VEND-870</t>
  </si>
  <si>
    <t>TXN-1071</t>
  </si>
  <si>
    <t>VEND-871</t>
  </si>
  <si>
    <t>TXN-1072</t>
  </si>
  <si>
    <t>VEND-872</t>
  </si>
  <si>
    <t>TXN-1073</t>
  </si>
  <si>
    <t>VEND-873</t>
  </si>
  <si>
    <t>$28.00</t>
  </si>
  <si>
    <t>TXN-1074</t>
  </si>
  <si>
    <t>VEND-874</t>
  </si>
  <si>
    <t>ERR_QTY</t>
  </si>
  <si>
    <t>TXN-1075</t>
  </si>
  <si>
    <t>VEND-875</t>
  </si>
  <si>
    <t>TXN-1076</t>
  </si>
  <si>
    <t>TXN-1077</t>
  </si>
  <si>
    <t>VEND-877</t>
  </si>
  <si>
    <t>TXN-1078</t>
  </si>
  <si>
    <t>VEND-878</t>
  </si>
  <si>
    <t>TXN-1079</t>
  </si>
  <si>
    <t>VEND-879</t>
  </si>
  <si>
    <t>TXN-1080</t>
  </si>
  <si>
    <t>VEND-880</t>
  </si>
  <si>
    <t>$21.00</t>
  </si>
  <si>
    <t>TXN-1081</t>
  </si>
  <si>
    <t>VEND-881</t>
  </si>
  <si>
    <t>TXN-1082</t>
  </si>
  <si>
    <t>VEND-882</t>
  </si>
  <si>
    <t>TXN-1083</t>
  </si>
  <si>
    <t>TXN-1084</t>
  </si>
  <si>
    <t>VEND-884</t>
  </si>
  <si>
    <t>TXN-1085</t>
  </si>
  <si>
    <t>VEND-885</t>
  </si>
  <si>
    <t>TXN-1086</t>
  </si>
  <si>
    <t>VEND-886</t>
  </si>
  <si>
    <t>BAD_PRC</t>
  </si>
  <si>
    <t>TXN-1087</t>
  </si>
  <si>
    <t>VEND-887</t>
  </si>
  <si>
    <t>TXN-1088</t>
  </si>
  <si>
    <t>VEND-888</t>
  </si>
  <si>
    <t>TXN-1089</t>
  </si>
  <si>
    <t>VEND-890</t>
  </si>
  <si>
    <t>TXN-1090</t>
  </si>
  <si>
    <t>VEND-891</t>
  </si>
  <si>
    <t>$10.00</t>
  </si>
  <si>
    <t>TXN-1091</t>
  </si>
  <si>
    <t>VEND-892</t>
  </si>
  <si>
    <t>TXN-1092</t>
  </si>
  <si>
    <t>VEND-893</t>
  </si>
  <si>
    <t>TXN-1093</t>
  </si>
  <si>
    <t>VEND-894</t>
  </si>
  <si>
    <t>TXN-1094</t>
  </si>
  <si>
    <t>VEND-895</t>
  </si>
  <si>
    <t>TXN-1095</t>
  </si>
  <si>
    <t>VEND-896</t>
  </si>
  <si>
    <t>TXN-1096</t>
  </si>
  <si>
    <t>TXN-1097</t>
  </si>
  <si>
    <t>VEND-898</t>
  </si>
  <si>
    <t>TXN-1098</t>
  </si>
  <si>
    <t>VEND-899</t>
  </si>
  <si>
    <t>TXN-1099</t>
  </si>
  <si>
    <t>VEND-900</t>
  </si>
  <si>
    <t>TXN-1100</t>
  </si>
  <si>
    <t>VEND-901</t>
  </si>
  <si>
    <t>$15.00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</si>
</sst>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b/>
      <sz val="11.0"/>
      <color rgb="FFFFFFFF"/>
      <name val="Roboto"/>
    </font>
    <font>
      <color rgb="FF1F1F1F"/>
      <name val="Roboto"/>
    </font>
    <font>
      <sz val="11.0"/>
      <color rgb="FF000000"/>
      <name val="Roboto"/>
    </font>
    <font>
      <color theme="1"/>
      <name val="Roboto"/>
    </font>
    <font>
      <b/>
      <sz val="12.0"/>
      <color rgb="FFFFFFFF"/>
      <name val="Roboto"/>
    </font>
    <font>
      <color rgb="FF111827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2" fontId="5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ill="1" applyFont="1">
      <alignment readingOrder="0"/>
    </xf>
    <xf borderId="0" fillId="4" fontId="6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88"/>
    <col customWidth="1" min="3" max="3" width="11.13"/>
    <col customWidth="1" min="4" max="4" width="9.5"/>
    <col customWidth="1" min="5" max="5" width="13.0"/>
    <col customWidth="1" min="6" max="6" width="13.75"/>
    <col customWidth="1" min="7" max="7" width="17.63"/>
    <col customWidth="1" min="8" max="8" width="22.88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11</v>
      </c>
      <c r="F1" s="1" t="s">
        <v>13</v>
      </c>
      <c r="G1" s="1" t="s">
        <v>15</v>
      </c>
      <c r="H1" s="1" t="s">
        <v>16</v>
      </c>
    </row>
    <row r="2">
      <c r="A2" s="2" t="s">
        <v>17</v>
      </c>
      <c r="B2" s="3">
        <v>46023.0</v>
      </c>
      <c r="C2" s="2" t="s">
        <v>18</v>
      </c>
      <c r="D2" s="2" t="s">
        <v>19</v>
      </c>
      <c r="E2" s="2">
        <v>150.0</v>
      </c>
      <c r="F2" s="2">
        <v>45.0</v>
      </c>
      <c r="G2" s="2">
        <v>6750.0</v>
      </c>
      <c r="H2" s="2">
        <v>6750.0</v>
      </c>
    </row>
    <row r="3">
      <c r="A3" s="2" t="s">
        <v>20</v>
      </c>
      <c r="B3" s="3">
        <v>46023.0</v>
      </c>
      <c r="C3" s="2" t="s">
        <v>21</v>
      </c>
      <c r="D3" s="2" t="s">
        <v>22</v>
      </c>
      <c r="E3" s="2">
        <v>80.0</v>
      </c>
      <c r="F3" s="4" t="e">
        <v>#N/A</v>
      </c>
      <c r="G3" s="4" t="e">
        <v>#N/A</v>
      </c>
      <c r="H3" s="2">
        <v>3200.0</v>
      </c>
    </row>
    <row r="4">
      <c r="A4" s="2" t="s">
        <v>23</v>
      </c>
      <c r="B4" s="3">
        <v>46024.0</v>
      </c>
      <c r="C4" s="2" t="s">
        <v>18</v>
      </c>
      <c r="D4" s="2" t="s">
        <v>24</v>
      </c>
      <c r="E4" s="2">
        <v>0.0</v>
      </c>
      <c r="F4" s="2">
        <v>120.0</v>
      </c>
      <c r="G4" s="4" t="e">
        <v>#DIV/0!</v>
      </c>
      <c r="H4" s="2">
        <v>0.0</v>
      </c>
    </row>
    <row r="5">
      <c r="A5" s="2" t="s">
        <v>25</v>
      </c>
      <c r="B5" s="3">
        <v>46024.0</v>
      </c>
      <c r="C5" s="2" t="s">
        <v>26</v>
      </c>
      <c r="D5" s="2" t="s">
        <v>27</v>
      </c>
      <c r="E5" s="2">
        <v>200.0</v>
      </c>
      <c r="F5" s="2" t="s">
        <v>28</v>
      </c>
      <c r="G5" s="2">
        <v>3100.0</v>
      </c>
      <c r="H5" s="2">
        <v>3100.0</v>
      </c>
    </row>
    <row r="6">
      <c r="A6" s="2" t="s">
        <v>29</v>
      </c>
      <c r="B6" s="3">
        <v>46025.0</v>
      </c>
      <c r="C6" s="2" t="s">
        <v>18</v>
      </c>
      <c r="D6" s="2" t="s">
        <v>30</v>
      </c>
      <c r="E6" s="2">
        <v>50.0</v>
      </c>
      <c r="F6" s="2">
        <v>310.0</v>
      </c>
      <c r="G6" s="2">
        <v>15500.0</v>
      </c>
      <c r="H6" s="2">
        <v>15500.0</v>
      </c>
    </row>
    <row r="7">
      <c r="A7" s="2" t="s">
        <v>31</v>
      </c>
      <c r="B7" s="3">
        <v>46025.0</v>
      </c>
      <c r="C7" s="2" t="s">
        <v>32</v>
      </c>
      <c r="D7" s="2" t="s">
        <v>33</v>
      </c>
      <c r="E7" s="2" t="s">
        <v>34</v>
      </c>
      <c r="F7" s="2">
        <v>75.0</v>
      </c>
      <c r="G7" s="4" t="e">
        <v>#VALUE!</v>
      </c>
      <c r="H7" s="2">
        <v>1875.0</v>
      </c>
    </row>
    <row r="8">
      <c r="A8" s="2" t="s">
        <v>35</v>
      </c>
      <c r="B8" s="3">
        <v>46026.0</v>
      </c>
      <c r="C8" s="2" t="s">
        <v>21</v>
      </c>
      <c r="D8" s="2" t="s">
        <v>36</v>
      </c>
      <c r="E8" s="2">
        <v>120.0</v>
      </c>
      <c r="F8" s="2">
        <v>95.0</v>
      </c>
      <c r="G8" s="2">
        <v>11400.0</v>
      </c>
      <c r="H8" s="2">
        <v>11400.0</v>
      </c>
    </row>
    <row r="9">
      <c r="A9" s="2" t="s">
        <v>37</v>
      </c>
      <c r="B9" s="3">
        <v>46026.0</v>
      </c>
      <c r="C9" s="2" t="s">
        <v>26</v>
      </c>
      <c r="D9" s="2" t="s">
        <v>38</v>
      </c>
      <c r="E9" s="2">
        <v>300.0</v>
      </c>
      <c r="F9" s="2">
        <v>0.0</v>
      </c>
      <c r="G9" s="4" t="e">
        <v>#DIV/0!</v>
      </c>
      <c r="H9" s="2">
        <v>0.0</v>
      </c>
    </row>
    <row r="10">
      <c r="A10" s="2" t="s">
        <v>39</v>
      </c>
      <c r="B10" s="3">
        <v>46027.0</v>
      </c>
      <c r="C10" s="2" t="s">
        <v>18</v>
      </c>
      <c r="D10" s="2" t="s">
        <v>22</v>
      </c>
      <c r="E10" s="2">
        <v>45.0</v>
      </c>
      <c r="F10" s="4" t="e">
        <v>#N/A</v>
      </c>
      <c r="G10" s="4" t="e">
        <v>#N/A</v>
      </c>
      <c r="H10" s="2">
        <v>1800.0</v>
      </c>
    </row>
    <row r="11">
      <c r="A11" s="2" t="s">
        <v>40</v>
      </c>
      <c r="B11" s="3">
        <v>46027.0</v>
      </c>
      <c r="C11" s="2" t="s">
        <v>32</v>
      </c>
      <c r="D11" s="2" t="s">
        <v>41</v>
      </c>
      <c r="E11" s="2">
        <v>500.0</v>
      </c>
      <c r="F11" s="2">
        <v>12.5</v>
      </c>
      <c r="G11" s="2">
        <v>6250.0</v>
      </c>
      <c r="H11" s="2">
        <v>6250.0</v>
      </c>
    </row>
    <row r="12">
      <c r="A12" s="2" t="s">
        <v>42</v>
      </c>
      <c r="B12" s="3">
        <v>46028.0</v>
      </c>
      <c r="C12" s="2" t="s">
        <v>18</v>
      </c>
      <c r="D12" s="2" t="s">
        <v>43</v>
      </c>
      <c r="E12" s="2">
        <v>75.0</v>
      </c>
      <c r="F12" s="2">
        <v>60.0</v>
      </c>
      <c r="G12" s="2">
        <v>4500.0</v>
      </c>
      <c r="H12" s="2">
        <v>4500.0</v>
      </c>
    </row>
    <row r="13">
      <c r="A13" s="2" t="s">
        <v>44</v>
      </c>
      <c r="B13" s="3">
        <v>46028.0</v>
      </c>
      <c r="C13" s="2" t="s">
        <v>21</v>
      </c>
      <c r="D13" s="2" t="s">
        <v>45</v>
      </c>
      <c r="E13" s="2">
        <v>10.0</v>
      </c>
      <c r="F13" s="2">
        <v>1250.0</v>
      </c>
      <c r="G13" s="2">
        <v>12500.0</v>
      </c>
      <c r="H13" s="2">
        <v>12500.05</v>
      </c>
    </row>
    <row r="14">
      <c r="A14" s="2" t="s">
        <v>46</v>
      </c>
      <c r="B14" s="3">
        <v>46029.0</v>
      </c>
      <c r="C14" s="2" t="s">
        <v>26</v>
      </c>
      <c r="D14" s="2" t="s">
        <v>22</v>
      </c>
      <c r="E14" s="4" t="e">
        <v>#N/A</v>
      </c>
      <c r="F14" s="2">
        <v>45.0</v>
      </c>
      <c r="G14" s="4" t="e">
        <v>#N/A</v>
      </c>
      <c r="H14" s="2">
        <v>450.0</v>
      </c>
    </row>
    <row r="15">
      <c r="A15" s="2" t="s">
        <v>47</v>
      </c>
      <c r="B15" s="3">
        <v>46029.0</v>
      </c>
      <c r="C15" s="2" t="s">
        <v>18</v>
      </c>
      <c r="D15" s="2" t="s">
        <v>48</v>
      </c>
      <c r="E15" s="2">
        <v>220.0</v>
      </c>
      <c r="F15" s="2" t="s">
        <v>49</v>
      </c>
      <c r="G15" s="2">
        <v>5005.0</v>
      </c>
      <c r="H15" s="2">
        <v>5005.0</v>
      </c>
    </row>
    <row r="16">
      <c r="A16" s="2" t="s">
        <v>50</v>
      </c>
      <c r="B16" s="3">
        <v>46030.0</v>
      </c>
      <c r="C16" s="2" t="s">
        <v>32</v>
      </c>
      <c r="D16" s="2" t="s">
        <v>51</v>
      </c>
      <c r="E16" s="2">
        <v>15.0</v>
      </c>
      <c r="F16" s="2">
        <v>320.0</v>
      </c>
      <c r="G16" s="2">
        <v>4800.0</v>
      </c>
      <c r="H16" s="2">
        <v>4800.0</v>
      </c>
    </row>
    <row r="17">
      <c r="A17" s="2" t="s">
        <v>52</v>
      </c>
      <c r="B17" s="3">
        <v>46030.0</v>
      </c>
      <c r="C17" s="2" t="s">
        <v>18</v>
      </c>
      <c r="D17" s="2" t="s">
        <v>53</v>
      </c>
      <c r="E17" s="2">
        <v>90.0</v>
      </c>
      <c r="F17" s="2" t="s">
        <v>54</v>
      </c>
      <c r="G17" s="4" t="e">
        <v>#VALUE!</v>
      </c>
      <c r="H17" s="2">
        <v>2700.0</v>
      </c>
    </row>
    <row r="18">
      <c r="A18" s="2" t="s">
        <v>55</v>
      </c>
      <c r="B18" s="3">
        <v>46031.0</v>
      </c>
      <c r="C18" s="2" t="s">
        <v>21</v>
      </c>
      <c r="D18" s="2" t="s">
        <v>56</v>
      </c>
      <c r="E18" s="2">
        <v>400.0</v>
      </c>
      <c r="F18" s="2">
        <v>18.0</v>
      </c>
      <c r="G18" s="2">
        <v>7200.0</v>
      </c>
      <c r="H18" s="2">
        <v>7200.0</v>
      </c>
    </row>
    <row r="19">
      <c r="A19" s="2" t="s">
        <v>57</v>
      </c>
      <c r="B19" s="3">
        <v>46031.0</v>
      </c>
      <c r="C19" s="2" t="s">
        <v>26</v>
      </c>
      <c r="D19" s="2" t="s">
        <v>58</v>
      </c>
      <c r="E19" s="2">
        <v>0.0</v>
      </c>
      <c r="F19" s="2">
        <v>55.0</v>
      </c>
      <c r="G19" s="4" t="e">
        <v>#DIV/0!</v>
      </c>
      <c r="H19" s="2">
        <v>0.0</v>
      </c>
    </row>
    <row r="20">
      <c r="A20" s="2" t="s">
        <v>59</v>
      </c>
      <c r="B20" s="3">
        <v>46032.0</v>
      </c>
      <c r="C20" s="2" t="s">
        <v>18</v>
      </c>
      <c r="D20" s="2" t="s">
        <v>22</v>
      </c>
      <c r="E20" s="2">
        <v>110.0</v>
      </c>
      <c r="F20" s="4" t="e">
        <v>#N/A</v>
      </c>
      <c r="G20" s="4" t="e">
        <v>#N/A</v>
      </c>
      <c r="H20" s="2">
        <v>3300.0</v>
      </c>
    </row>
    <row r="21">
      <c r="A21" s="2" t="s">
        <v>60</v>
      </c>
      <c r="B21" s="3">
        <v>46032.0</v>
      </c>
      <c r="C21" s="2" t="s">
        <v>32</v>
      </c>
      <c r="D21" s="2" t="s">
        <v>61</v>
      </c>
      <c r="E21" s="2">
        <v>60.0</v>
      </c>
      <c r="F21" s="2">
        <v>145.0</v>
      </c>
      <c r="G21" s="2">
        <v>8700.0</v>
      </c>
      <c r="H21" s="2">
        <v>8700.0</v>
      </c>
    </row>
    <row r="22">
      <c r="A22" s="2" t="s">
        <v>62</v>
      </c>
      <c r="B22" s="3">
        <v>46033.0</v>
      </c>
      <c r="C22" s="2" t="s">
        <v>18</v>
      </c>
      <c r="D22" s="2" t="s">
        <v>63</v>
      </c>
      <c r="E22" s="2">
        <v>300.0</v>
      </c>
      <c r="F22" s="2">
        <v>14.0</v>
      </c>
      <c r="G22" s="2">
        <v>4200.0</v>
      </c>
      <c r="H22" s="2">
        <v>4200.0</v>
      </c>
    </row>
    <row r="23">
      <c r="A23" s="2" t="s">
        <v>64</v>
      </c>
      <c r="B23" s="3">
        <v>46033.0</v>
      </c>
      <c r="C23" s="2" t="s">
        <v>21</v>
      </c>
      <c r="D23" s="2" t="s">
        <v>65</v>
      </c>
      <c r="E23" s="2">
        <v>25.0</v>
      </c>
      <c r="F23" s="2">
        <v>450.0</v>
      </c>
      <c r="G23" s="2">
        <v>11250.0</v>
      </c>
      <c r="H23" s="2">
        <v>11250.0</v>
      </c>
    </row>
    <row r="24">
      <c r="A24" s="2" t="s">
        <v>66</v>
      </c>
      <c r="B24" s="3">
        <v>46034.0</v>
      </c>
      <c r="C24" s="2" t="s">
        <v>26</v>
      </c>
      <c r="D24" s="2" t="s">
        <v>67</v>
      </c>
      <c r="E24" s="2">
        <v>180.0</v>
      </c>
      <c r="F24" s="2" t="s">
        <v>68</v>
      </c>
      <c r="G24" s="2">
        <v>6300.0</v>
      </c>
      <c r="H24" s="2">
        <v>6300.0</v>
      </c>
    </row>
    <row r="25">
      <c r="A25" s="2" t="s">
        <v>69</v>
      </c>
      <c r="B25" s="3">
        <v>46034.0</v>
      </c>
      <c r="C25" s="2" t="s">
        <v>18</v>
      </c>
      <c r="D25" s="2" t="s">
        <v>71</v>
      </c>
      <c r="E25" s="2" t="s">
        <v>72</v>
      </c>
      <c r="F25" s="2">
        <v>90.0</v>
      </c>
      <c r="G25" s="4" t="e">
        <v>#VALUE!</v>
      </c>
      <c r="H25" s="2">
        <v>4500.0</v>
      </c>
    </row>
    <row r="26">
      <c r="A26" s="2" t="s">
        <v>73</v>
      </c>
      <c r="B26" s="3">
        <v>46035.0</v>
      </c>
      <c r="C26" s="2" t="s">
        <v>32</v>
      </c>
      <c r="D26" s="2" t="s">
        <v>74</v>
      </c>
      <c r="E26" s="2">
        <v>45.0</v>
      </c>
      <c r="F26" s="2">
        <v>210.0</v>
      </c>
      <c r="G26" s="2">
        <v>9450.0</v>
      </c>
      <c r="H26" s="2">
        <v>9450.0</v>
      </c>
    </row>
    <row r="27">
      <c r="A27" s="2" t="s">
        <v>75</v>
      </c>
      <c r="B27" s="3">
        <v>46035.0</v>
      </c>
      <c r="C27" s="2" t="s">
        <v>18</v>
      </c>
      <c r="D27" s="2" t="s">
        <v>22</v>
      </c>
      <c r="E27" s="2">
        <v>500.0</v>
      </c>
      <c r="F27" s="4" t="e">
        <v>#N/A</v>
      </c>
      <c r="G27" s="4" t="e">
        <v>#N/A</v>
      </c>
      <c r="H27" s="2">
        <v>10000.0</v>
      </c>
    </row>
    <row r="28">
      <c r="A28" s="2" t="s">
        <v>76</v>
      </c>
      <c r="B28" s="3">
        <v>46036.0</v>
      </c>
      <c r="C28" s="2" t="s">
        <v>21</v>
      </c>
      <c r="D28" s="2" t="s">
        <v>77</v>
      </c>
      <c r="E28" s="2">
        <v>85.0</v>
      </c>
      <c r="F28" s="2">
        <v>180.0</v>
      </c>
      <c r="G28" s="2">
        <v>15300.0</v>
      </c>
      <c r="H28" s="2">
        <v>15300.0</v>
      </c>
    </row>
    <row r="29">
      <c r="A29" s="2" t="s">
        <v>78</v>
      </c>
      <c r="B29" s="3">
        <v>46036.0</v>
      </c>
      <c r="C29" s="2" t="s">
        <v>26</v>
      </c>
      <c r="D29" s="2" t="s">
        <v>79</v>
      </c>
      <c r="E29" s="2">
        <v>0.0</v>
      </c>
      <c r="F29" s="2">
        <v>85.0</v>
      </c>
      <c r="G29" s="4" t="e">
        <v>#DIV/0!</v>
      </c>
      <c r="H29" s="2">
        <v>0.0</v>
      </c>
    </row>
    <row r="30">
      <c r="A30" s="2" t="s">
        <v>80</v>
      </c>
      <c r="B30" s="3">
        <v>46037.0</v>
      </c>
      <c r="C30" s="2" t="s">
        <v>18</v>
      </c>
      <c r="D30" s="2" t="s">
        <v>81</v>
      </c>
      <c r="E30" s="2">
        <v>135.0</v>
      </c>
      <c r="F30" s="2">
        <v>50.0</v>
      </c>
      <c r="G30" s="2">
        <v>6750.0</v>
      </c>
      <c r="H30" s="2">
        <v>6750.0</v>
      </c>
    </row>
    <row r="31">
      <c r="A31" s="2" t="s">
        <v>82</v>
      </c>
      <c r="B31" s="3">
        <v>46037.0</v>
      </c>
      <c r="C31" s="2" t="s">
        <v>32</v>
      </c>
      <c r="D31" s="2" t="s">
        <v>83</v>
      </c>
      <c r="E31" s="2">
        <v>70.0</v>
      </c>
      <c r="F31" s="2" t="s">
        <v>84</v>
      </c>
      <c r="G31" s="2">
        <v>7700.0</v>
      </c>
      <c r="H31" s="2">
        <v>7700.0</v>
      </c>
    </row>
    <row r="32">
      <c r="A32" s="2" t="s">
        <v>85</v>
      </c>
      <c r="B32" s="3">
        <v>46038.0</v>
      </c>
      <c r="C32" s="2" t="s">
        <v>18</v>
      </c>
      <c r="D32" s="2" t="s">
        <v>86</v>
      </c>
      <c r="E32" s="2">
        <v>160.0</v>
      </c>
      <c r="F32" s="2">
        <v>42.0</v>
      </c>
      <c r="G32" s="2">
        <v>6720.0</v>
      </c>
      <c r="H32" s="2">
        <v>6720.0</v>
      </c>
    </row>
    <row r="33">
      <c r="A33" s="2" t="s">
        <v>87</v>
      </c>
      <c r="B33" s="3">
        <v>46038.0</v>
      </c>
      <c r="C33" s="2" t="s">
        <v>21</v>
      </c>
      <c r="D33" s="2" t="s">
        <v>88</v>
      </c>
      <c r="E33" s="2">
        <v>95.0</v>
      </c>
      <c r="F33" s="2">
        <v>310.0</v>
      </c>
      <c r="G33" s="2">
        <v>29450.0</v>
      </c>
      <c r="H33" s="2">
        <v>29450.0</v>
      </c>
    </row>
    <row r="34">
      <c r="A34" s="2" t="s">
        <v>89</v>
      </c>
      <c r="B34" s="3">
        <v>46039.0</v>
      </c>
      <c r="C34" s="2" t="s">
        <v>26</v>
      </c>
      <c r="D34" s="2" t="s">
        <v>22</v>
      </c>
      <c r="E34" s="4" t="e">
        <v>#N/A</v>
      </c>
      <c r="F34" s="2">
        <v>15.0</v>
      </c>
      <c r="G34" s="4" t="e">
        <v>#N/A</v>
      </c>
      <c r="H34" s="2">
        <v>300.0</v>
      </c>
    </row>
    <row r="35">
      <c r="A35" s="2" t="s">
        <v>90</v>
      </c>
      <c r="B35" s="3">
        <v>46039.0</v>
      </c>
      <c r="C35" s="2" t="s">
        <v>18</v>
      </c>
      <c r="D35" s="2" t="s">
        <v>92</v>
      </c>
      <c r="E35" s="2">
        <v>210.0</v>
      </c>
      <c r="F35" s="2">
        <v>65.0</v>
      </c>
      <c r="G35" s="2">
        <v>13650.0</v>
      </c>
      <c r="H35" s="2">
        <v>13650.0</v>
      </c>
    </row>
    <row r="36">
      <c r="A36" s="2" t="s">
        <v>93</v>
      </c>
      <c r="B36" s="3">
        <v>46040.0</v>
      </c>
      <c r="C36" s="2" t="s">
        <v>32</v>
      </c>
      <c r="D36" s="2" t="s">
        <v>94</v>
      </c>
      <c r="E36" s="2">
        <v>30.0</v>
      </c>
      <c r="F36" s="2">
        <v>400.0</v>
      </c>
      <c r="G36" s="2">
        <v>12000.0</v>
      </c>
      <c r="H36" s="2">
        <v>12000.0</v>
      </c>
    </row>
    <row r="37">
      <c r="A37" s="2" t="s">
        <v>95</v>
      </c>
      <c r="B37" s="3">
        <v>46040.0</v>
      </c>
      <c r="C37" s="2" t="s">
        <v>18</v>
      </c>
      <c r="D37" s="2" t="s">
        <v>97</v>
      </c>
      <c r="E37" s="2">
        <v>115.0</v>
      </c>
      <c r="F37" s="2" t="s">
        <v>98</v>
      </c>
      <c r="G37" s="4" t="e">
        <v>#VALUE!</v>
      </c>
      <c r="H37" s="2">
        <v>5750.0</v>
      </c>
    </row>
    <row r="38">
      <c r="A38" s="2" t="s">
        <v>101</v>
      </c>
      <c r="B38" s="3">
        <v>46041.0</v>
      </c>
      <c r="C38" s="2" t="s">
        <v>21</v>
      </c>
      <c r="D38" s="2" t="s">
        <v>102</v>
      </c>
      <c r="E38" s="2">
        <v>350.0</v>
      </c>
      <c r="F38" s="2">
        <v>22.0</v>
      </c>
      <c r="G38" s="2">
        <v>7700.0</v>
      </c>
      <c r="H38" s="2">
        <v>7700.0</v>
      </c>
    </row>
    <row r="39">
      <c r="A39" s="2" t="s">
        <v>103</v>
      </c>
      <c r="B39" s="3">
        <v>46041.0</v>
      </c>
      <c r="C39" s="2" t="s">
        <v>26</v>
      </c>
      <c r="D39" s="2" t="s">
        <v>104</v>
      </c>
      <c r="E39" s="2">
        <v>0.0</v>
      </c>
      <c r="F39" s="2">
        <v>45.0</v>
      </c>
      <c r="G39" s="4" t="e">
        <v>#DIV/0!</v>
      </c>
      <c r="H39" s="2">
        <v>0.0</v>
      </c>
    </row>
    <row r="40">
      <c r="A40" s="2" t="s">
        <v>105</v>
      </c>
      <c r="B40" s="3">
        <v>46042.0</v>
      </c>
      <c r="C40" s="2" t="s">
        <v>18</v>
      </c>
      <c r="D40" s="2" t="s">
        <v>106</v>
      </c>
      <c r="E40" s="2">
        <v>85.0</v>
      </c>
      <c r="F40" s="2">
        <v>125.0</v>
      </c>
      <c r="G40" s="2">
        <v>10625.0</v>
      </c>
      <c r="H40" s="2">
        <v>10625.0</v>
      </c>
    </row>
    <row r="41">
      <c r="A41" s="2" t="s">
        <v>107</v>
      </c>
      <c r="B41" s="3">
        <v>46042.0</v>
      </c>
      <c r="C41" s="2" t="s">
        <v>32</v>
      </c>
      <c r="D41" s="2" t="s">
        <v>108</v>
      </c>
      <c r="E41" s="2">
        <v>450.0</v>
      </c>
      <c r="F41" s="2" t="s">
        <v>109</v>
      </c>
      <c r="G41" s="2">
        <v>3825.0</v>
      </c>
      <c r="H41" s="2">
        <v>3825.0</v>
      </c>
    </row>
    <row r="42">
      <c r="A42" s="2" t="s">
        <v>110</v>
      </c>
      <c r="B42" s="3">
        <v>46043.0</v>
      </c>
      <c r="C42" s="2" t="s">
        <v>18</v>
      </c>
      <c r="D42" s="2" t="s">
        <v>111</v>
      </c>
      <c r="E42" s="2">
        <v>95.0</v>
      </c>
      <c r="F42" s="2">
        <v>75.0</v>
      </c>
      <c r="G42" s="2">
        <v>7125.0</v>
      </c>
      <c r="H42" s="2">
        <v>7125.0</v>
      </c>
    </row>
    <row r="43">
      <c r="A43" s="2" t="s">
        <v>112</v>
      </c>
      <c r="B43" s="3">
        <v>46043.0</v>
      </c>
      <c r="C43" s="2" t="s">
        <v>21</v>
      </c>
      <c r="D43" s="2" t="s">
        <v>113</v>
      </c>
      <c r="E43" s="2">
        <v>50.0</v>
      </c>
      <c r="F43" s="2">
        <v>950.0</v>
      </c>
      <c r="G43" s="2">
        <v>47500.0</v>
      </c>
      <c r="H43" s="2">
        <v>47500.1</v>
      </c>
    </row>
    <row r="44">
      <c r="A44" s="2" t="s">
        <v>114</v>
      </c>
      <c r="B44" s="3">
        <v>46044.0</v>
      </c>
      <c r="C44" s="2" t="s">
        <v>26</v>
      </c>
      <c r="D44" s="2" t="s">
        <v>115</v>
      </c>
      <c r="E44" s="2">
        <v>240.0</v>
      </c>
      <c r="F44" s="2">
        <v>25.0</v>
      </c>
      <c r="G44" s="2">
        <v>6000.0</v>
      </c>
      <c r="H44" s="2">
        <v>6000.0</v>
      </c>
    </row>
    <row r="45">
      <c r="A45" s="2" t="s">
        <v>116</v>
      </c>
      <c r="B45" s="3">
        <v>46044.0</v>
      </c>
      <c r="C45" s="2" t="s">
        <v>18</v>
      </c>
      <c r="D45" s="2" t="s">
        <v>117</v>
      </c>
      <c r="E45" s="2" t="s">
        <v>118</v>
      </c>
      <c r="F45" s="2">
        <v>60.0</v>
      </c>
      <c r="G45" s="4" t="e">
        <v>#VALUE!</v>
      </c>
      <c r="H45" s="2">
        <v>3600.0</v>
      </c>
    </row>
    <row r="46">
      <c r="A46" s="2" t="s">
        <v>119</v>
      </c>
      <c r="B46" s="3">
        <v>46045.0</v>
      </c>
      <c r="C46" s="2" t="s">
        <v>32</v>
      </c>
      <c r="D46" s="2" t="s">
        <v>120</v>
      </c>
      <c r="E46" s="2">
        <v>18.0</v>
      </c>
      <c r="F46" s="2">
        <v>550.0</v>
      </c>
      <c r="G46" s="2">
        <v>9900.0</v>
      </c>
      <c r="H46" s="2">
        <v>9900.0</v>
      </c>
    </row>
    <row r="47">
      <c r="A47" s="2" t="s">
        <v>121</v>
      </c>
      <c r="B47" s="3">
        <v>46045.0</v>
      </c>
      <c r="C47" s="2" t="s">
        <v>18</v>
      </c>
      <c r="D47" s="2" t="s">
        <v>22</v>
      </c>
      <c r="E47" s="4" t="e">
        <v>#N/A</v>
      </c>
      <c r="F47" s="4" t="e">
        <v>#N/A</v>
      </c>
      <c r="G47" s="4" t="e">
        <v>#N/A</v>
      </c>
      <c r="H47" s="2">
        <v>4200.0</v>
      </c>
    </row>
    <row r="48">
      <c r="A48" s="2" t="s">
        <v>122</v>
      </c>
      <c r="B48" s="3">
        <v>46046.0</v>
      </c>
      <c r="C48" s="2" t="s">
        <v>21</v>
      </c>
      <c r="D48" s="2" t="s">
        <v>123</v>
      </c>
      <c r="E48" s="2">
        <v>105.0</v>
      </c>
      <c r="F48" s="2">
        <v>140.0</v>
      </c>
      <c r="G48" s="2">
        <v>14700.0</v>
      </c>
      <c r="H48" s="2">
        <v>14700.0</v>
      </c>
    </row>
    <row r="49">
      <c r="A49" s="2" t="s">
        <v>124</v>
      </c>
      <c r="B49" s="3">
        <v>46046.0</v>
      </c>
      <c r="C49" s="2" t="s">
        <v>26</v>
      </c>
      <c r="D49" s="2" t="s">
        <v>125</v>
      </c>
      <c r="E49" s="2">
        <v>0.0</v>
      </c>
      <c r="F49" s="2">
        <v>130.0</v>
      </c>
      <c r="G49" s="4" t="e">
        <v>#DIV/0!</v>
      </c>
      <c r="H49" s="2">
        <v>0.0</v>
      </c>
    </row>
    <row r="50">
      <c r="A50" s="2" t="s">
        <v>126</v>
      </c>
      <c r="B50" s="3">
        <v>46047.0</v>
      </c>
      <c r="C50" s="2" t="s">
        <v>18</v>
      </c>
      <c r="D50" s="2" t="s">
        <v>127</v>
      </c>
      <c r="E50" s="2">
        <v>125.0</v>
      </c>
      <c r="F50" s="2">
        <v>80.0</v>
      </c>
      <c r="G50" s="2">
        <v>10000.0</v>
      </c>
      <c r="H50" s="2">
        <v>10000.0</v>
      </c>
    </row>
    <row r="51">
      <c r="A51" s="2" t="s">
        <v>128</v>
      </c>
      <c r="B51" s="3">
        <v>46047.0</v>
      </c>
      <c r="C51" s="2" t="s">
        <v>32</v>
      </c>
      <c r="D51" s="2" t="s">
        <v>129</v>
      </c>
      <c r="E51" s="2">
        <v>320.0</v>
      </c>
      <c r="F51" s="2" t="s">
        <v>130</v>
      </c>
      <c r="G51" s="2">
        <v>5840.0</v>
      </c>
      <c r="H51" s="2">
        <v>5840.0</v>
      </c>
    </row>
    <row r="52">
      <c r="A52" s="2" t="s">
        <v>131</v>
      </c>
      <c r="B52" s="3">
        <v>46048.0</v>
      </c>
      <c r="C52" s="2" t="s">
        <v>18</v>
      </c>
      <c r="D52" s="2" t="s">
        <v>132</v>
      </c>
      <c r="E52" s="2">
        <v>140.0</v>
      </c>
      <c r="F52" s="2">
        <v>55.0</v>
      </c>
      <c r="G52" s="2">
        <v>7700.0</v>
      </c>
      <c r="H52" s="2">
        <v>7700.0</v>
      </c>
    </row>
    <row r="53">
      <c r="A53" s="2" t="s">
        <v>133</v>
      </c>
      <c r="B53" s="3">
        <v>46048.0</v>
      </c>
      <c r="C53" s="2" t="s">
        <v>21</v>
      </c>
      <c r="D53" s="2" t="s">
        <v>134</v>
      </c>
      <c r="E53" s="2">
        <v>75.0</v>
      </c>
      <c r="F53" s="2">
        <v>420.0</v>
      </c>
      <c r="G53" s="2">
        <v>31500.0</v>
      </c>
      <c r="H53" s="2">
        <v>31500.0</v>
      </c>
    </row>
    <row r="54">
      <c r="A54" s="2" t="s">
        <v>135</v>
      </c>
      <c r="B54" s="3">
        <v>46049.0</v>
      </c>
      <c r="C54" s="2" t="s">
        <v>26</v>
      </c>
      <c r="D54" s="2" t="s">
        <v>136</v>
      </c>
      <c r="E54" s="2">
        <v>190.0</v>
      </c>
      <c r="F54" s="2">
        <v>30.0</v>
      </c>
      <c r="G54" s="2">
        <v>5700.0</v>
      </c>
      <c r="H54" s="2">
        <v>5700.0</v>
      </c>
    </row>
    <row r="55">
      <c r="A55" s="2" t="s">
        <v>137</v>
      </c>
      <c r="B55" s="3">
        <v>46049.0</v>
      </c>
      <c r="C55" s="2" t="s">
        <v>18</v>
      </c>
      <c r="D55" s="2" t="s">
        <v>138</v>
      </c>
      <c r="E55" s="2" t="s">
        <v>139</v>
      </c>
      <c r="F55" s="2">
        <v>85.0</v>
      </c>
      <c r="G55" s="4" t="e">
        <v>#VALUE!</v>
      </c>
      <c r="H55" s="2">
        <v>5100.0</v>
      </c>
    </row>
    <row r="56">
      <c r="A56" s="2" t="s">
        <v>140</v>
      </c>
      <c r="B56" s="3">
        <v>46050.0</v>
      </c>
      <c r="C56" s="2" t="s">
        <v>32</v>
      </c>
      <c r="D56" s="2" t="s">
        <v>141</v>
      </c>
      <c r="E56" s="2">
        <v>55.0</v>
      </c>
      <c r="F56" s="2">
        <v>290.0</v>
      </c>
      <c r="G56" s="2">
        <v>15950.0</v>
      </c>
      <c r="H56" s="2">
        <v>15950.0</v>
      </c>
    </row>
    <row r="57">
      <c r="A57" s="2" t="s">
        <v>142</v>
      </c>
      <c r="B57" s="3">
        <v>46050.0</v>
      </c>
      <c r="C57" s="2" t="s">
        <v>18</v>
      </c>
      <c r="D57" s="2" t="s">
        <v>22</v>
      </c>
      <c r="E57" s="2">
        <v>400.0</v>
      </c>
      <c r="F57" s="4" t="e">
        <v>#N/A</v>
      </c>
      <c r="G57" s="4" t="e">
        <v>#N/A</v>
      </c>
      <c r="H57" s="2">
        <v>8000.0</v>
      </c>
    </row>
    <row r="58">
      <c r="A58" s="2" t="s">
        <v>143</v>
      </c>
      <c r="B58" s="3">
        <v>46051.0</v>
      </c>
      <c r="C58" s="2" t="s">
        <v>21</v>
      </c>
      <c r="D58" s="2" t="s">
        <v>144</v>
      </c>
      <c r="E58" s="2">
        <v>110.0</v>
      </c>
      <c r="F58" s="2">
        <v>165.0</v>
      </c>
      <c r="G58" s="2">
        <v>18150.0</v>
      </c>
      <c r="H58" s="2">
        <v>18150.0</v>
      </c>
    </row>
    <row r="59">
      <c r="A59" s="2" t="s">
        <v>145</v>
      </c>
      <c r="B59" s="3">
        <v>46051.0</v>
      </c>
      <c r="C59" s="2" t="s">
        <v>26</v>
      </c>
      <c r="D59" s="2" t="s">
        <v>146</v>
      </c>
      <c r="E59" s="2">
        <v>0.0</v>
      </c>
      <c r="F59" s="2">
        <v>95.0</v>
      </c>
      <c r="G59" s="4" t="e">
        <v>#DIV/0!</v>
      </c>
      <c r="H59" s="2">
        <v>0.0</v>
      </c>
    </row>
    <row r="60">
      <c r="A60" s="2" t="s">
        <v>147</v>
      </c>
      <c r="B60" s="3">
        <v>46052.0</v>
      </c>
      <c r="C60" s="2" t="s">
        <v>18</v>
      </c>
      <c r="D60" s="2" t="s">
        <v>148</v>
      </c>
      <c r="E60" s="2">
        <v>165.0</v>
      </c>
      <c r="F60" s="2">
        <v>48.0</v>
      </c>
      <c r="G60" s="2">
        <v>7920.0</v>
      </c>
      <c r="H60" s="2">
        <v>7920.0</v>
      </c>
    </row>
    <row r="61">
      <c r="A61" s="2" t="s">
        <v>149</v>
      </c>
      <c r="B61" s="3">
        <v>46052.0</v>
      </c>
      <c r="C61" s="2" t="s">
        <v>32</v>
      </c>
      <c r="D61" s="2" t="s">
        <v>150</v>
      </c>
      <c r="E61" s="2">
        <v>280.0</v>
      </c>
      <c r="F61" s="2" t="s">
        <v>151</v>
      </c>
      <c r="G61" s="2">
        <v>4060.0</v>
      </c>
      <c r="H61" s="2">
        <v>4060.0</v>
      </c>
    </row>
    <row r="62">
      <c r="A62" s="2" t="s">
        <v>152</v>
      </c>
      <c r="B62" s="3">
        <v>46053.0</v>
      </c>
      <c r="C62" s="2" t="s">
        <v>18</v>
      </c>
      <c r="D62" s="2" t="s">
        <v>153</v>
      </c>
      <c r="E62" s="2">
        <v>115.0</v>
      </c>
      <c r="F62" s="2">
        <v>62.0</v>
      </c>
      <c r="G62" s="2">
        <v>7130.0</v>
      </c>
      <c r="H62" s="2">
        <v>7130.0</v>
      </c>
    </row>
    <row r="63">
      <c r="A63" s="2" t="s">
        <v>154</v>
      </c>
      <c r="B63" s="3">
        <v>46053.0</v>
      </c>
      <c r="C63" s="2" t="s">
        <v>21</v>
      </c>
      <c r="D63" s="2" t="s">
        <v>155</v>
      </c>
      <c r="E63" s="2">
        <v>60.0</v>
      </c>
      <c r="F63" s="2">
        <v>850.0</v>
      </c>
      <c r="G63" s="2">
        <v>51000.0</v>
      </c>
      <c r="H63" s="2">
        <v>51000.08</v>
      </c>
    </row>
    <row r="64">
      <c r="A64" s="2" t="s">
        <v>156</v>
      </c>
      <c r="B64" s="3">
        <v>46054.0</v>
      </c>
      <c r="C64" s="2" t="s">
        <v>26</v>
      </c>
      <c r="D64" s="2" t="s">
        <v>22</v>
      </c>
      <c r="E64" s="4" t="e">
        <v>#N/A</v>
      </c>
      <c r="F64" s="2">
        <v>22.0</v>
      </c>
      <c r="G64" s="4" t="e">
        <v>#N/A</v>
      </c>
      <c r="H64" s="2">
        <v>440.0</v>
      </c>
    </row>
    <row r="65">
      <c r="A65" s="2" t="s">
        <v>157</v>
      </c>
      <c r="B65" s="3">
        <v>46054.0</v>
      </c>
      <c r="C65" s="2" t="s">
        <v>18</v>
      </c>
      <c r="D65" s="2" t="s">
        <v>158</v>
      </c>
      <c r="E65" s="2">
        <v>175.0</v>
      </c>
      <c r="F65" s="2" t="s">
        <v>159</v>
      </c>
      <c r="G65" s="2">
        <v>7000.0</v>
      </c>
      <c r="H65" s="2">
        <v>7000.0</v>
      </c>
    </row>
    <row r="66">
      <c r="A66" s="2" t="s">
        <v>160</v>
      </c>
      <c r="B66" s="3">
        <v>46055.0</v>
      </c>
      <c r="C66" s="2" t="s">
        <v>32</v>
      </c>
      <c r="D66" s="2" t="s">
        <v>161</v>
      </c>
      <c r="E66" s="2">
        <v>25.0</v>
      </c>
      <c r="F66" s="2">
        <v>380.0</v>
      </c>
      <c r="G66" s="2">
        <v>9500.0</v>
      </c>
      <c r="H66" s="2">
        <v>9500.0</v>
      </c>
    </row>
    <row r="67">
      <c r="A67" s="2" t="s">
        <v>162</v>
      </c>
      <c r="B67" s="3">
        <v>46055.0</v>
      </c>
      <c r="C67" s="2" t="s">
        <v>18</v>
      </c>
      <c r="D67" s="2" t="s">
        <v>163</v>
      </c>
      <c r="E67" s="2">
        <v>80.0</v>
      </c>
      <c r="F67" s="2" t="s">
        <v>164</v>
      </c>
      <c r="G67" s="4" t="e">
        <v>#VALUE!</v>
      </c>
      <c r="H67" s="2">
        <v>3200.0</v>
      </c>
    </row>
    <row r="68">
      <c r="A68" s="2" t="s">
        <v>165</v>
      </c>
      <c r="B68" s="3">
        <v>46056.0</v>
      </c>
      <c r="C68" s="2" t="s">
        <v>21</v>
      </c>
      <c r="D68" s="2" t="s">
        <v>166</v>
      </c>
      <c r="E68" s="2">
        <v>290.0</v>
      </c>
      <c r="F68" s="2">
        <v>24.0</v>
      </c>
      <c r="G68" s="2">
        <v>6960.0</v>
      </c>
      <c r="H68" s="2">
        <v>6960.0</v>
      </c>
    </row>
    <row r="69">
      <c r="A69" s="2" t="s">
        <v>167</v>
      </c>
      <c r="B69" s="3">
        <v>46056.0</v>
      </c>
      <c r="C69" s="2" t="s">
        <v>26</v>
      </c>
      <c r="D69" s="2" t="s">
        <v>168</v>
      </c>
      <c r="E69" s="2">
        <v>0.0</v>
      </c>
      <c r="F69" s="2">
        <v>60.0</v>
      </c>
      <c r="G69" s="4" t="e">
        <v>#DIV/0!</v>
      </c>
      <c r="H69" s="2">
        <v>0.0</v>
      </c>
    </row>
    <row r="70">
      <c r="A70" s="2" t="s">
        <v>169</v>
      </c>
      <c r="B70" s="3">
        <v>46057.0</v>
      </c>
      <c r="C70" s="2" t="s">
        <v>18</v>
      </c>
      <c r="D70" s="2" t="s">
        <v>22</v>
      </c>
      <c r="E70" s="2">
        <v>100.0</v>
      </c>
      <c r="F70" s="4" t="e">
        <v>#N/A</v>
      </c>
      <c r="G70" s="4" t="e">
        <v>#N/A</v>
      </c>
      <c r="H70" s="2">
        <v>4000.0</v>
      </c>
    </row>
    <row r="71">
      <c r="A71" s="2" t="s">
        <v>170</v>
      </c>
      <c r="B71" s="3">
        <v>46057.0</v>
      </c>
      <c r="C71" s="2" t="s">
        <v>32</v>
      </c>
      <c r="D71" s="2" t="s">
        <v>171</v>
      </c>
      <c r="E71" s="2">
        <v>350.0</v>
      </c>
      <c r="F71" s="2">
        <v>16.5</v>
      </c>
      <c r="G71" s="2">
        <v>5775.0</v>
      </c>
      <c r="H71" s="2">
        <v>5775.0</v>
      </c>
    </row>
    <row r="72">
      <c r="A72" s="2" t="s">
        <v>172</v>
      </c>
      <c r="B72" s="3">
        <v>46058.0</v>
      </c>
      <c r="C72" s="2" t="s">
        <v>18</v>
      </c>
      <c r="D72" s="2" t="s">
        <v>173</v>
      </c>
      <c r="E72" s="2">
        <v>130.0</v>
      </c>
      <c r="F72" s="2">
        <v>52.0</v>
      </c>
      <c r="G72" s="2">
        <v>6760.0</v>
      </c>
      <c r="H72" s="2">
        <v>6760.0</v>
      </c>
    </row>
    <row r="73">
      <c r="A73" s="2" t="s">
        <v>174</v>
      </c>
      <c r="B73" s="3">
        <v>46058.0</v>
      </c>
      <c r="C73" s="2" t="s">
        <v>21</v>
      </c>
      <c r="D73" s="2" t="s">
        <v>175</v>
      </c>
      <c r="E73" s="2">
        <v>45.0</v>
      </c>
      <c r="F73" s="2">
        <v>520.0</v>
      </c>
      <c r="G73" s="2">
        <v>23400.0</v>
      </c>
      <c r="H73" s="2">
        <v>23400.0</v>
      </c>
    </row>
    <row r="74">
      <c r="A74" s="2" t="s">
        <v>176</v>
      </c>
      <c r="B74" s="3">
        <v>46059.0</v>
      </c>
      <c r="C74" s="2" t="s">
        <v>26</v>
      </c>
      <c r="D74" s="2" t="s">
        <v>177</v>
      </c>
      <c r="E74" s="2">
        <v>210.0</v>
      </c>
      <c r="F74" s="2" t="s">
        <v>178</v>
      </c>
      <c r="G74" s="2">
        <v>5880.0</v>
      </c>
      <c r="H74" s="2">
        <v>5880.0</v>
      </c>
    </row>
    <row r="75">
      <c r="A75" s="2" t="s">
        <v>179</v>
      </c>
      <c r="B75" s="3">
        <v>46059.0</v>
      </c>
      <c r="C75" s="2" t="s">
        <v>18</v>
      </c>
      <c r="D75" s="2" t="s">
        <v>180</v>
      </c>
      <c r="E75" s="2" t="s">
        <v>181</v>
      </c>
      <c r="F75" s="2">
        <v>70.0</v>
      </c>
      <c r="G75" s="4" t="e">
        <v>#VALUE!</v>
      </c>
      <c r="H75" s="2">
        <v>4200.0</v>
      </c>
    </row>
    <row r="76">
      <c r="A76" s="2" t="s">
        <v>182</v>
      </c>
      <c r="B76" s="3">
        <v>46060.0</v>
      </c>
      <c r="C76" s="2" t="s">
        <v>32</v>
      </c>
      <c r="D76" s="2" t="s">
        <v>183</v>
      </c>
      <c r="E76" s="2">
        <v>35.0</v>
      </c>
      <c r="F76" s="2">
        <v>310.0</v>
      </c>
      <c r="G76" s="2">
        <v>10850.0</v>
      </c>
      <c r="H76" s="2">
        <v>10850.0</v>
      </c>
    </row>
    <row r="77">
      <c r="A77" s="2" t="s">
        <v>184</v>
      </c>
      <c r="B77" s="3">
        <v>46060.0</v>
      </c>
      <c r="C77" s="2" t="s">
        <v>18</v>
      </c>
      <c r="D77" s="2" t="s">
        <v>22</v>
      </c>
      <c r="E77" s="2">
        <v>300.0</v>
      </c>
      <c r="F77" s="4" t="e">
        <v>#N/A</v>
      </c>
      <c r="G77" s="4" t="e">
        <v>#N/A</v>
      </c>
      <c r="H77" s="2">
        <v>6000.0</v>
      </c>
    </row>
    <row r="78">
      <c r="A78" s="2" t="s">
        <v>185</v>
      </c>
      <c r="B78" s="3">
        <v>46061.0</v>
      </c>
      <c r="C78" s="2" t="s">
        <v>21</v>
      </c>
      <c r="D78" s="2" t="s">
        <v>186</v>
      </c>
      <c r="E78" s="2">
        <v>95.0</v>
      </c>
      <c r="F78" s="2">
        <v>195.0</v>
      </c>
      <c r="G78" s="2">
        <v>18525.0</v>
      </c>
      <c r="H78" s="2">
        <v>18525.0</v>
      </c>
    </row>
    <row r="79">
      <c r="A79" s="2" t="s">
        <v>187</v>
      </c>
      <c r="B79" s="3">
        <v>46061.0</v>
      </c>
      <c r="C79" s="2" t="s">
        <v>26</v>
      </c>
      <c r="D79" s="2" t="s">
        <v>188</v>
      </c>
      <c r="E79" s="2">
        <v>0.0</v>
      </c>
      <c r="F79" s="2">
        <v>110.0</v>
      </c>
      <c r="G79" s="4" t="e">
        <v>#DIV/0!</v>
      </c>
      <c r="H79" s="2">
        <v>0.0</v>
      </c>
    </row>
    <row r="80">
      <c r="A80" s="2" t="s">
        <v>189</v>
      </c>
      <c r="B80" s="3">
        <v>46062.0</v>
      </c>
      <c r="C80" s="2" t="s">
        <v>18</v>
      </c>
      <c r="D80" s="2" t="s">
        <v>190</v>
      </c>
      <c r="E80" s="2">
        <v>145.0</v>
      </c>
      <c r="F80" s="2">
        <v>58.0</v>
      </c>
      <c r="G80" s="2">
        <v>8410.0</v>
      </c>
      <c r="H80" s="2">
        <v>8410.0</v>
      </c>
    </row>
    <row r="81">
      <c r="A81" s="2" t="s">
        <v>191</v>
      </c>
      <c r="B81" s="3">
        <v>46062.0</v>
      </c>
      <c r="C81" s="2" t="s">
        <v>32</v>
      </c>
      <c r="D81" s="2" t="s">
        <v>192</v>
      </c>
      <c r="E81" s="2">
        <v>220.0</v>
      </c>
      <c r="F81" s="2" t="s">
        <v>193</v>
      </c>
      <c r="G81" s="2">
        <v>4620.0</v>
      </c>
      <c r="H81" s="2">
        <v>4620.0</v>
      </c>
    </row>
    <row r="82">
      <c r="A82" s="2" t="s">
        <v>194</v>
      </c>
      <c r="B82" s="3">
        <v>46063.0</v>
      </c>
      <c r="C82" s="2" t="s">
        <v>18</v>
      </c>
      <c r="D82" s="2" t="s">
        <v>195</v>
      </c>
      <c r="E82" s="2">
        <v>180.0</v>
      </c>
      <c r="F82" s="2">
        <v>38.0</v>
      </c>
      <c r="G82" s="2">
        <v>6840.0</v>
      </c>
      <c r="H82" s="2">
        <v>6840.0</v>
      </c>
    </row>
    <row r="83">
      <c r="A83" s="2" t="s">
        <v>196</v>
      </c>
      <c r="B83" s="3">
        <v>46063.0</v>
      </c>
      <c r="C83" s="2" t="s">
        <v>21</v>
      </c>
      <c r="D83" s="2" t="s">
        <v>197</v>
      </c>
      <c r="E83" s="2">
        <v>85.0</v>
      </c>
      <c r="F83" s="2">
        <v>340.0</v>
      </c>
      <c r="G83" s="2">
        <v>28900.0</v>
      </c>
      <c r="H83" s="2">
        <v>28900.0</v>
      </c>
    </row>
    <row r="84">
      <c r="A84" s="2" t="s">
        <v>198</v>
      </c>
      <c r="B84" s="3">
        <v>46064.0</v>
      </c>
      <c r="C84" s="2" t="s">
        <v>26</v>
      </c>
      <c r="D84" s="2" t="s">
        <v>22</v>
      </c>
      <c r="E84" s="4" t="e">
        <v>#N/A</v>
      </c>
      <c r="F84" s="2">
        <v>40.0</v>
      </c>
      <c r="G84" s="4" t="e">
        <v>#N/A</v>
      </c>
      <c r="H84" s="2">
        <v>800.0</v>
      </c>
    </row>
    <row r="85">
      <c r="A85" s="2" t="s">
        <v>199</v>
      </c>
      <c r="B85" s="3">
        <v>46064.0</v>
      </c>
      <c r="C85" s="2" t="s">
        <v>18</v>
      </c>
      <c r="D85" s="2" t="s">
        <v>200</v>
      </c>
      <c r="E85" s="2">
        <v>250.0</v>
      </c>
      <c r="F85" s="2">
        <v>45.0</v>
      </c>
      <c r="G85" s="2">
        <v>11250.0</v>
      </c>
      <c r="H85" s="2">
        <v>11250.0</v>
      </c>
    </row>
    <row r="86">
      <c r="A86" s="2" t="s">
        <v>201</v>
      </c>
      <c r="B86" s="3">
        <v>46065.0</v>
      </c>
      <c r="C86" s="2" t="s">
        <v>32</v>
      </c>
      <c r="D86" s="2" t="s">
        <v>202</v>
      </c>
      <c r="E86" s="2">
        <v>40.0</v>
      </c>
      <c r="F86" s="2">
        <v>275.0</v>
      </c>
      <c r="G86" s="2">
        <v>11000.0</v>
      </c>
      <c r="H86" s="2">
        <v>11000.0</v>
      </c>
    </row>
    <row r="87">
      <c r="A87" s="2" t="s">
        <v>203</v>
      </c>
      <c r="B87" s="3">
        <v>46065.0</v>
      </c>
      <c r="C87" s="2" t="s">
        <v>18</v>
      </c>
      <c r="D87" s="2" t="s">
        <v>204</v>
      </c>
      <c r="E87" s="2">
        <v>70.0</v>
      </c>
      <c r="F87" s="2" t="s">
        <v>205</v>
      </c>
      <c r="G87" s="4" t="e">
        <v>#VALUE!</v>
      </c>
      <c r="H87" s="2">
        <v>3500.0</v>
      </c>
    </row>
    <row r="88">
      <c r="A88" s="2" t="s">
        <v>206</v>
      </c>
      <c r="B88" s="3">
        <v>46066.0</v>
      </c>
      <c r="C88" s="2" t="s">
        <v>21</v>
      </c>
      <c r="D88" s="2" t="s">
        <v>207</v>
      </c>
      <c r="E88" s="2">
        <v>310.0</v>
      </c>
      <c r="F88" s="2">
        <v>20.0</v>
      </c>
      <c r="G88" s="2">
        <v>6200.0</v>
      </c>
      <c r="H88" s="2">
        <v>6200.0</v>
      </c>
    </row>
    <row r="89">
      <c r="A89" s="2" t="s">
        <v>208</v>
      </c>
      <c r="B89" s="3">
        <v>46066.0</v>
      </c>
      <c r="C89" s="2" t="s">
        <v>26</v>
      </c>
      <c r="D89" s="2" t="s">
        <v>209</v>
      </c>
      <c r="E89" s="2">
        <v>0.0</v>
      </c>
      <c r="F89" s="2">
        <v>75.0</v>
      </c>
      <c r="G89" s="4" t="e">
        <v>#DIV/0!</v>
      </c>
      <c r="H89" s="2">
        <v>0.0</v>
      </c>
    </row>
    <row r="90">
      <c r="A90" s="2" t="s">
        <v>210</v>
      </c>
      <c r="B90" s="3">
        <v>46067.0</v>
      </c>
      <c r="C90" s="2" t="s">
        <v>18</v>
      </c>
      <c r="D90" s="2" t="s">
        <v>211</v>
      </c>
      <c r="E90" s="2">
        <v>90.0</v>
      </c>
      <c r="F90" s="2">
        <v>110.0</v>
      </c>
      <c r="G90" s="2">
        <v>9900.0</v>
      </c>
      <c r="H90" s="2">
        <v>9900.0</v>
      </c>
    </row>
    <row r="91">
      <c r="A91" s="2" t="s">
        <v>212</v>
      </c>
      <c r="B91" s="3">
        <v>46067.0</v>
      </c>
      <c r="C91" s="2" t="s">
        <v>32</v>
      </c>
      <c r="D91" s="2" t="s">
        <v>213</v>
      </c>
      <c r="E91" s="2">
        <v>410.0</v>
      </c>
      <c r="F91" s="2" t="s">
        <v>214</v>
      </c>
      <c r="G91" s="2">
        <v>4100.0</v>
      </c>
      <c r="H91" s="2">
        <v>4100.0</v>
      </c>
    </row>
    <row r="92">
      <c r="A92" s="2" t="s">
        <v>215</v>
      </c>
      <c r="B92" s="3">
        <v>46068.0</v>
      </c>
      <c r="C92" s="2" t="s">
        <v>18</v>
      </c>
      <c r="D92" s="2" t="s">
        <v>216</v>
      </c>
      <c r="E92" s="2">
        <v>105.0</v>
      </c>
      <c r="F92" s="2">
        <v>68.0</v>
      </c>
      <c r="G92" s="2">
        <v>7140.0</v>
      </c>
      <c r="H92" s="2">
        <v>7140.0</v>
      </c>
    </row>
    <row r="93">
      <c r="A93" s="2" t="s">
        <v>217</v>
      </c>
      <c r="B93" s="3">
        <v>46068.0</v>
      </c>
      <c r="C93" s="2" t="s">
        <v>21</v>
      </c>
      <c r="D93" s="2" t="s">
        <v>218</v>
      </c>
      <c r="E93" s="2">
        <v>55.0</v>
      </c>
      <c r="F93" s="2">
        <v>680.0</v>
      </c>
      <c r="G93" s="2">
        <v>37400.0</v>
      </c>
      <c r="H93" s="2">
        <v>37400.12</v>
      </c>
    </row>
    <row r="94">
      <c r="A94" s="2" t="s">
        <v>219</v>
      </c>
      <c r="B94" s="3">
        <v>46069.0</v>
      </c>
      <c r="C94" s="2" t="s">
        <v>26</v>
      </c>
      <c r="D94" s="2" t="s">
        <v>220</v>
      </c>
      <c r="E94" s="2">
        <v>175.0</v>
      </c>
      <c r="F94" s="2">
        <v>32.0</v>
      </c>
      <c r="G94" s="2">
        <v>5600.0</v>
      </c>
      <c r="H94" s="2">
        <v>5600.0</v>
      </c>
    </row>
    <row r="95">
      <c r="A95" s="2" t="s">
        <v>221</v>
      </c>
      <c r="B95" s="3">
        <v>46069.0</v>
      </c>
      <c r="C95" s="2" t="s">
        <v>18</v>
      </c>
      <c r="D95" s="2" t="s">
        <v>222</v>
      </c>
      <c r="E95" s="2" t="s">
        <v>72</v>
      </c>
      <c r="F95" s="2">
        <v>50.0</v>
      </c>
      <c r="G95" s="4" t="e">
        <v>#VALUE!</v>
      </c>
      <c r="H95" s="2">
        <v>2500.0</v>
      </c>
    </row>
    <row r="96">
      <c r="A96" s="2" t="s">
        <v>223</v>
      </c>
      <c r="B96" s="3">
        <v>46070.0</v>
      </c>
      <c r="C96" s="2" t="s">
        <v>32</v>
      </c>
      <c r="D96" s="2" t="s">
        <v>224</v>
      </c>
      <c r="E96" s="2">
        <v>20.0</v>
      </c>
      <c r="F96" s="2">
        <v>490.0</v>
      </c>
      <c r="G96" s="2">
        <v>9800.0</v>
      </c>
      <c r="H96" s="2">
        <v>9800.0</v>
      </c>
    </row>
    <row r="97">
      <c r="A97" s="2" t="s">
        <v>225</v>
      </c>
      <c r="B97" s="3">
        <v>46070.0</v>
      </c>
      <c r="C97" s="2" t="s">
        <v>18</v>
      </c>
      <c r="D97" s="2" t="s">
        <v>22</v>
      </c>
      <c r="E97" s="2">
        <v>250.0</v>
      </c>
      <c r="F97" s="4" t="e">
        <v>#N/A</v>
      </c>
      <c r="G97" s="4" t="e">
        <v>#N/A</v>
      </c>
      <c r="H97" s="2">
        <v>5000.0</v>
      </c>
    </row>
    <row r="98">
      <c r="A98" s="2" t="s">
        <v>226</v>
      </c>
      <c r="B98" s="3">
        <v>46071.0</v>
      </c>
      <c r="C98" s="2" t="s">
        <v>21</v>
      </c>
      <c r="D98" s="2" t="s">
        <v>227</v>
      </c>
      <c r="E98" s="2">
        <v>115.0</v>
      </c>
      <c r="F98" s="2">
        <v>150.0</v>
      </c>
      <c r="G98" s="2">
        <v>17250.0</v>
      </c>
      <c r="H98" s="2">
        <v>17250.0</v>
      </c>
    </row>
    <row r="99">
      <c r="A99" s="2" t="s">
        <v>228</v>
      </c>
      <c r="B99" s="3">
        <v>46071.0</v>
      </c>
      <c r="C99" s="2" t="s">
        <v>26</v>
      </c>
      <c r="D99" s="2" t="s">
        <v>229</v>
      </c>
      <c r="E99" s="2">
        <v>0.0</v>
      </c>
      <c r="F99" s="2">
        <v>140.0</v>
      </c>
      <c r="G99" s="4" t="e">
        <v>#DIV/0!</v>
      </c>
      <c r="H99" s="2">
        <v>0.0</v>
      </c>
    </row>
    <row r="100">
      <c r="A100" s="2" t="s">
        <v>230</v>
      </c>
      <c r="B100" s="3">
        <v>46072.0</v>
      </c>
      <c r="C100" s="2" t="s">
        <v>18</v>
      </c>
      <c r="D100" s="2" t="s">
        <v>231</v>
      </c>
      <c r="E100" s="2">
        <v>140.0</v>
      </c>
      <c r="F100" s="2">
        <v>55.0</v>
      </c>
      <c r="G100" s="2">
        <v>7700.0</v>
      </c>
      <c r="H100" s="2">
        <v>7700.0</v>
      </c>
    </row>
    <row r="101">
      <c r="A101" s="2" t="s">
        <v>232</v>
      </c>
      <c r="B101" s="3">
        <v>46072.0</v>
      </c>
      <c r="C101" s="2" t="s">
        <v>32</v>
      </c>
      <c r="D101" s="2" t="s">
        <v>233</v>
      </c>
      <c r="E101" s="2">
        <v>300.0</v>
      </c>
      <c r="F101" s="2" t="s">
        <v>234</v>
      </c>
      <c r="G101" s="2">
        <v>4500.0</v>
      </c>
      <c r="H101" s="2">
        <v>4500.0</v>
      </c>
    </row>
  </sheetData>
  <conditionalFormatting sqref="A2:H101">
    <cfRule type="expression" dxfId="0" priority="1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88"/>
    <col customWidth="1" min="3" max="3" width="11.13"/>
    <col customWidth="1" min="4" max="4" width="9.5"/>
    <col customWidth="1" min="5" max="5" width="13.5"/>
    <col customWidth="1" min="6" max="6" width="14.88"/>
    <col customWidth="1" min="7" max="7" width="21.38"/>
    <col customWidth="1" min="8" max="8" width="17.63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14</v>
      </c>
    </row>
    <row r="2">
      <c r="A2" s="5" t="str">
        <f>General_Ledger_Data!A2</f>
        <v>TXN-1001</v>
      </c>
      <c r="B2" s="6">
        <f>General_Ledger_Data!B2</f>
        <v>46023</v>
      </c>
      <c r="C2" s="5" t="str">
        <f>General_Ledger_Data!C2</f>
        <v>6001-OPEX</v>
      </c>
      <c r="D2" s="5" t="str">
        <f>IF(OR(ISBLANK(General_Ledger_Data!D2), General_Ledger_Data!D2="#N/A"), "VEND-UNKNOWN", General_Ledger_Data!D2)</f>
        <v>VEND-801</v>
      </c>
      <c r="E2" s="5">
        <f>IFERROR(__xludf.DUMMYFUNCTION("IFERROR(VALUE(REGEXREPLACE(TO_TEXT(General_Ledger_Data!E2), ""[^0-9.]"", """")), 0)"),150.0)</f>
        <v>150</v>
      </c>
      <c r="F2" s="5">
        <f>IFERROR(__xludf.DUMMYFUNCTION("IFERROR(VALUE(REGEXREPLACE(TO_TEXT(General_Ledger_Data!F2), ""[^0-9.]"", """")), 0)"),45.0)</f>
        <v>45</v>
      </c>
      <c r="G2" s="5">
        <f t="shared" ref="G2:G101" si="1">IF(OR(E2=0, F2=0), 0, E2*F2)</f>
        <v>6750</v>
      </c>
      <c r="H2" s="5" t="str">
        <f>IF(ISNUMBER(General_Ledger_Data!G2), "PASSED CLEAN", "REPAIRED")</f>
        <v>PASSED CLEAN</v>
      </c>
    </row>
    <row r="3">
      <c r="A3" s="5" t="str">
        <f>General_Ledger_Data!A3</f>
        <v>TXN-1002</v>
      </c>
      <c r="B3" s="6">
        <f>General_Ledger_Data!B3</f>
        <v>46023</v>
      </c>
      <c r="C3" s="5" t="str">
        <f>General_Ledger_Data!C3</f>
        <v>6002-CAPEX</v>
      </c>
      <c r="D3" s="5" t="str">
        <f>IF(OR(ISBLANK(General_Ledger_Data!D3), General_Ledger_Data!D3="#N/A"), "VEND-UNKNOWN", General_Ledger_Data!D3)</f>
        <v>VEND-999</v>
      </c>
      <c r="E3" s="5">
        <f>IFERROR(__xludf.DUMMYFUNCTION("IFERROR(VALUE(REGEXREPLACE(TO_TEXT(General_Ledger_Data!E3), ""[^0-9.]"", """")), 0)"),80.0)</f>
        <v>80</v>
      </c>
      <c r="F3" s="5">
        <f>IFERROR(__xludf.DUMMYFUNCTION("IFERROR(VALUE(REGEXREPLACE(TO_TEXT(General_Ledger_Data!F3), ""[^0-9.]"", """")), 0)"),0.0)</f>
        <v>0</v>
      </c>
      <c r="G3" s="5">
        <f t="shared" si="1"/>
        <v>0</v>
      </c>
      <c r="H3" s="5" t="str">
        <f>IF(ISNUMBER(General_Ledger_Data!G3), "PASSED CLEAN", "REPAIRED")</f>
        <v>REPAIRED</v>
      </c>
    </row>
    <row r="4">
      <c r="A4" s="5" t="str">
        <f>General_Ledger_Data!A4</f>
        <v>TXN-1003</v>
      </c>
      <c r="B4" s="6">
        <f>General_Ledger_Data!B4</f>
        <v>46024</v>
      </c>
      <c r="C4" s="5" t="str">
        <f>General_Ledger_Data!C4</f>
        <v>6001-OPEX</v>
      </c>
      <c r="D4" s="5" t="str">
        <f>IF(OR(ISBLANK(General_Ledger_Data!D4), General_Ledger_Data!D4="#N/A"), "VEND-UNKNOWN", General_Ledger_Data!D4)</f>
        <v>VEND-803</v>
      </c>
      <c r="E4" s="5">
        <f>IFERROR(__xludf.DUMMYFUNCTION("IFERROR(VALUE(REGEXREPLACE(TO_TEXT(General_Ledger_Data!E4), ""[^0-9.]"", """")), 0)"),0.0)</f>
        <v>0</v>
      </c>
      <c r="F4" s="5">
        <f>IFERROR(__xludf.DUMMYFUNCTION("IFERROR(VALUE(REGEXREPLACE(TO_TEXT(General_Ledger_Data!F4), ""[^0-9.]"", """")), 0)"),120.0)</f>
        <v>120</v>
      </c>
      <c r="G4" s="5">
        <f t="shared" si="1"/>
        <v>0</v>
      </c>
      <c r="H4" s="5" t="str">
        <f>IF(ISNUMBER(General_Ledger_Data!G4), "PASSED CLEAN", "REPAIRED")</f>
        <v>REPAIRED</v>
      </c>
    </row>
    <row r="5">
      <c r="A5" s="5" t="str">
        <f>General_Ledger_Data!A5</f>
        <v>TXN-1004</v>
      </c>
      <c r="B5" s="6">
        <f>General_Ledger_Data!B5</f>
        <v>46024</v>
      </c>
      <c r="C5" s="5" t="str">
        <f>General_Ledger_Data!C5</f>
        <v>6003-SUPPLY</v>
      </c>
      <c r="D5" s="5" t="str">
        <f>IF(OR(ISBLANK(General_Ledger_Data!D5), General_Ledger_Data!D5="#N/A"), "VEND-UNKNOWN", General_Ledger_Data!D5)</f>
        <v>VEND-804</v>
      </c>
      <c r="E5" s="5">
        <f>IFERROR(__xludf.DUMMYFUNCTION("IFERROR(VALUE(REGEXREPLACE(TO_TEXT(General_Ledger_Data!E5), ""[^0-9.]"", """")), 0)"),200.0)</f>
        <v>200</v>
      </c>
      <c r="F5" s="5">
        <f>IFERROR(__xludf.DUMMYFUNCTION("IFERROR(VALUE(REGEXREPLACE(TO_TEXT(General_Ledger_Data!F5), ""[^0-9.]"", """")), 0)"),15.5)</f>
        <v>15.5</v>
      </c>
      <c r="G5" s="5">
        <f t="shared" si="1"/>
        <v>3100</v>
      </c>
      <c r="H5" s="5" t="str">
        <f>IF(ISNUMBER(General_Ledger_Data!G5), "PASSED CLEAN", "REPAIRED")</f>
        <v>PASSED CLEAN</v>
      </c>
    </row>
    <row r="6">
      <c r="A6" s="5" t="str">
        <f>General_Ledger_Data!A6</f>
        <v>TXN-1005</v>
      </c>
      <c r="B6" s="6">
        <f>General_Ledger_Data!B6</f>
        <v>46025</v>
      </c>
      <c r="C6" s="5" t="str">
        <f>General_Ledger_Data!C6</f>
        <v>6001-OPEX</v>
      </c>
      <c r="D6" s="5" t="str">
        <f>IF(OR(ISBLANK(General_Ledger_Data!D6), General_Ledger_Data!D6="#N/A"), "VEND-UNKNOWN", General_Ledger_Data!D6)</f>
        <v>VEND-805</v>
      </c>
      <c r="E6" s="5">
        <f>IFERROR(__xludf.DUMMYFUNCTION("IFERROR(VALUE(REGEXREPLACE(TO_TEXT(General_Ledger_Data!E6), ""[^0-9.]"", """")), 0)"),50.0)</f>
        <v>50</v>
      </c>
      <c r="F6" s="5">
        <f>IFERROR(__xludf.DUMMYFUNCTION("IFERROR(VALUE(REGEXREPLACE(TO_TEXT(General_Ledger_Data!F6), ""[^0-9.]"", """")), 0)"),310.0)</f>
        <v>310</v>
      </c>
      <c r="G6" s="5">
        <f t="shared" si="1"/>
        <v>15500</v>
      </c>
      <c r="H6" s="5" t="str">
        <f>IF(ISNUMBER(General_Ledger_Data!G6), "PASSED CLEAN", "REPAIRED")</f>
        <v>PASSED CLEAN</v>
      </c>
    </row>
    <row r="7">
      <c r="A7" s="5" t="str">
        <f>General_Ledger_Data!A7</f>
        <v>TXN-1006</v>
      </c>
      <c r="B7" s="6">
        <f>General_Ledger_Data!B7</f>
        <v>46025</v>
      </c>
      <c r="C7" s="5" t="str">
        <f>General_Ledger_Data!C7</f>
        <v>6004-TRAVEL</v>
      </c>
      <c r="D7" s="5" t="str">
        <f>IF(OR(ISBLANK(General_Ledger_Data!D7), General_Ledger_Data!D7="#N/A"), "VEND-UNKNOWN", General_Ledger_Data!D7)</f>
        <v>VEND-806</v>
      </c>
      <c r="E7" s="5">
        <f>IFERROR(__xludf.DUMMYFUNCTION("IFERROR(VALUE(REGEXREPLACE(TO_TEXT(General_Ledger_Data!E7), ""[^0-9.]"", """")), 0)"),0.0)</f>
        <v>0</v>
      </c>
      <c r="F7" s="5">
        <f>IFERROR(__xludf.DUMMYFUNCTION("IFERROR(VALUE(REGEXREPLACE(TO_TEXT(General_Ledger_Data!F7), ""[^0-9.]"", """")), 0)"),75.0)</f>
        <v>75</v>
      </c>
      <c r="G7" s="5">
        <f t="shared" si="1"/>
        <v>0</v>
      </c>
      <c r="H7" s="5" t="str">
        <f>IF(ISNUMBER(General_Ledger_Data!G7), "PASSED CLEAN", "REPAIRED")</f>
        <v>REPAIRED</v>
      </c>
    </row>
    <row r="8">
      <c r="A8" s="5" t="str">
        <f>General_Ledger_Data!A8</f>
        <v>TXN-1007</v>
      </c>
      <c r="B8" s="6">
        <f>General_Ledger_Data!B8</f>
        <v>46026</v>
      </c>
      <c r="C8" s="5" t="str">
        <f>General_Ledger_Data!C8</f>
        <v>6002-CAPEX</v>
      </c>
      <c r="D8" s="5" t="str">
        <f>IF(OR(ISBLANK(General_Ledger_Data!D8), General_Ledger_Data!D8="#N/A"), "VEND-UNKNOWN", General_Ledger_Data!D8)</f>
        <v>VEND-807</v>
      </c>
      <c r="E8" s="5">
        <f>IFERROR(__xludf.DUMMYFUNCTION("IFERROR(VALUE(REGEXREPLACE(TO_TEXT(General_Ledger_Data!E8), ""[^0-9.]"", """")), 0)"),120.0)</f>
        <v>120</v>
      </c>
      <c r="F8" s="5">
        <f>IFERROR(__xludf.DUMMYFUNCTION("IFERROR(VALUE(REGEXREPLACE(TO_TEXT(General_Ledger_Data!F8), ""[^0-9.]"", """")), 0)"),95.0)</f>
        <v>95</v>
      </c>
      <c r="G8" s="5">
        <f t="shared" si="1"/>
        <v>11400</v>
      </c>
      <c r="H8" s="5" t="str">
        <f>IF(ISNUMBER(General_Ledger_Data!G8), "PASSED CLEAN", "REPAIRED")</f>
        <v>PASSED CLEAN</v>
      </c>
    </row>
    <row r="9">
      <c r="A9" s="5" t="str">
        <f>General_Ledger_Data!A9</f>
        <v>TXN-1008</v>
      </c>
      <c r="B9" s="6">
        <f>General_Ledger_Data!B9</f>
        <v>46026</v>
      </c>
      <c r="C9" s="5" t="str">
        <f>General_Ledger_Data!C9</f>
        <v>6003-SUPPLY</v>
      </c>
      <c r="D9" s="5" t="str">
        <f>IF(OR(ISBLANK(General_Ledger_Data!D9), General_Ledger_Data!D9="#N/A"), "VEND-UNKNOWN", General_Ledger_Data!D9)</f>
        <v>VEND-808</v>
      </c>
      <c r="E9" s="5">
        <f>IFERROR(__xludf.DUMMYFUNCTION("IFERROR(VALUE(REGEXREPLACE(TO_TEXT(General_Ledger_Data!E9), ""[^0-9.]"", """")), 0)"),300.0)</f>
        <v>300</v>
      </c>
      <c r="F9" s="5">
        <f>IFERROR(__xludf.DUMMYFUNCTION("IFERROR(VALUE(REGEXREPLACE(TO_TEXT(General_Ledger_Data!F9), ""[^0-9.]"", """")), 0)"),0.0)</f>
        <v>0</v>
      </c>
      <c r="G9" s="5">
        <f t="shared" si="1"/>
        <v>0</v>
      </c>
      <c r="H9" s="5" t="str">
        <f>IF(ISNUMBER(General_Ledger_Data!G9), "PASSED CLEAN", "REPAIRED")</f>
        <v>REPAIRED</v>
      </c>
    </row>
    <row r="10">
      <c r="A10" s="5" t="str">
        <f>General_Ledger_Data!A10</f>
        <v>TXN-1009</v>
      </c>
      <c r="B10" s="6">
        <f>General_Ledger_Data!B10</f>
        <v>46027</v>
      </c>
      <c r="C10" s="5" t="str">
        <f>General_Ledger_Data!C10</f>
        <v>6001-OPEX</v>
      </c>
      <c r="D10" s="5" t="str">
        <f>IF(OR(ISBLANK(General_Ledger_Data!D10), General_Ledger_Data!D10="#N/A"), "VEND-UNKNOWN", General_Ledger_Data!D10)</f>
        <v>VEND-999</v>
      </c>
      <c r="E10" s="5">
        <f>IFERROR(__xludf.DUMMYFUNCTION("IFERROR(VALUE(REGEXREPLACE(TO_TEXT(General_Ledger_Data!E10), ""[^0-9.]"", """")), 0)"),45.0)</f>
        <v>45</v>
      </c>
      <c r="F10" s="5">
        <f>IFERROR(__xludf.DUMMYFUNCTION("IFERROR(VALUE(REGEXREPLACE(TO_TEXT(General_Ledger_Data!F10), ""[^0-9.]"", """")), 0)"),0.0)</f>
        <v>0</v>
      </c>
      <c r="G10" s="5">
        <f t="shared" si="1"/>
        <v>0</v>
      </c>
      <c r="H10" s="5" t="str">
        <f>IF(ISNUMBER(General_Ledger_Data!G10), "PASSED CLEAN", "REPAIRED")</f>
        <v>REPAIRED</v>
      </c>
    </row>
    <row r="11">
      <c r="A11" s="5" t="str">
        <f>General_Ledger_Data!A11</f>
        <v>TXN-1010</v>
      </c>
      <c r="B11" s="6">
        <f>General_Ledger_Data!B11</f>
        <v>46027</v>
      </c>
      <c r="C11" s="5" t="str">
        <f>General_Ledger_Data!C11</f>
        <v>6004-TRAVEL</v>
      </c>
      <c r="D11" s="5" t="str">
        <f>IF(OR(ISBLANK(General_Ledger_Data!D11), General_Ledger_Data!D11="#N/A"), "VEND-UNKNOWN", General_Ledger_Data!D11)</f>
        <v>VEND-810</v>
      </c>
      <c r="E11" s="5">
        <f>IFERROR(__xludf.DUMMYFUNCTION("IFERROR(VALUE(REGEXREPLACE(TO_TEXT(General_Ledger_Data!E11), ""[^0-9.]"", """")), 0)"),500.0)</f>
        <v>500</v>
      </c>
      <c r="F11" s="5">
        <f>IFERROR(__xludf.DUMMYFUNCTION("IFERROR(VALUE(REGEXREPLACE(TO_TEXT(General_Ledger_Data!F11), ""[^0-9.]"", """")), 0)"),12.5)</f>
        <v>12.5</v>
      </c>
      <c r="G11" s="5">
        <f t="shared" si="1"/>
        <v>6250</v>
      </c>
      <c r="H11" s="5" t="str">
        <f>IF(ISNUMBER(General_Ledger_Data!G11), "PASSED CLEAN", "REPAIRED")</f>
        <v>PASSED CLEAN</v>
      </c>
    </row>
    <row r="12">
      <c r="A12" s="5" t="str">
        <f>General_Ledger_Data!A12</f>
        <v>TXN-1011</v>
      </c>
      <c r="B12" s="6">
        <f>General_Ledger_Data!B12</f>
        <v>46028</v>
      </c>
      <c r="C12" s="5" t="str">
        <f>General_Ledger_Data!C12</f>
        <v>6001-OPEX</v>
      </c>
      <c r="D12" s="5" t="str">
        <f>IF(OR(ISBLANK(General_Ledger_Data!D12), General_Ledger_Data!D12="#N/A"), "VEND-UNKNOWN", General_Ledger_Data!D12)</f>
        <v>VEND-811</v>
      </c>
      <c r="E12" s="5">
        <f>IFERROR(__xludf.DUMMYFUNCTION("IFERROR(VALUE(REGEXREPLACE(TO_TEXT(General_Ledger_Data!E12), ""[^0-9.]"", """")), 0)"),75.0)</f>
        <v>75</v>
      </c>
      <c r="F12" s="5">
        <f>IFERROR(__xludf.DUMMYFUNCTION("IFERROR(VALUE(REGEXREPLACE(TO_TEXT(General_Ledger_Data!F12), ""[^0-9.]"", """")), 0)"),60.0)</f>
        <v>60</v>
      </c>
      <c r="G12" s="5">
        <f t="shared" si="1"/>
        <v>4500</v>
      </c>
      <c r="H12" s="5" t="str">
        <f>IF(ISNUMBER(General_Ledger_Data!G12), "PASSED CLEAN", "REPAIRED")</f>
        <v>PASSED CLEAN</v>
      </c>
    </row>
    <row r="13">
      <c r="A13" s="5" t="str">
        <f>General_Ledger_Data!A13</f>
        <v>TXN-1012</v>
      </c>
      <c r="B13" s="6">
        <f>General_Ledger_Data!B13</f>
        <v>46028</v>
      </c>
      <c r="C13" s="5" t="str">
        <f>General_Ledger_Data!C13</f>
        <v>6002-CAPEX</v>
      </c>
      <c r="D13" s="5" t="str">
        <f>IF(OR(ISBLANK(General_Ledger_Data!D13), General_Ledger_Data!D13="#N/A"), "VEND-UNKNOWN", General_Ledger_Data!D13)</f>
        <v>VEND-812</v>
      </c>
      <c r="E13" s="5">
        <f>IFERROR(__xludf.DUMMYFUNCTION("IFERROR(VALUE(REGEXREPLACE(TO_TEXT(General_Ledger_Data!E13), ""[^0-9.]"", """")), 0)"),10.0)</f>
        <v>10</v>
      </c>
      <c r="F13" s="5">
        <f>IFERROR(__xludf.DUMMYFUNCTION("IFERROR(VALUE(REGEXREPLACE(TO_TEXT(General_Ledger_Data!F13), ""[^0-9.]"", """")), 0)"),1250.0)</f>
        <v>1250</v>
      </c>
      <c r="G13" s="5">
        <f t="shared" si="1"/>
        <v>12500</v>
      </c>
      <c r="H13" s="5" t="str">
        <f>IF(ISNUMBER(General_Ledger_Data!G13), "PASSED CLEAN", "REPAIRED")</f>
        <v>PASSED CLEAN</v>
      </c>
    </row>
    <row r="14">
      <c r="A14" s="5" t="str">
        <f>General_Ledger_Data!A14</f>
        <v>TXN-1013</v>
      </c>
      <c r="B14" s="6">
        <f>General_Ledger_Data!B14</f>
        <v>46029</v>
      </c>
      <c r="C14" s="5" t="str">
        <f>General_Ledger_Data!C14</f>
        <v>6003-SUPPLY</v>
      </c>
      <c r="D14" s="5" t="str">
        <f>IF(OR(ISBLANK(General_Ledger_Data!D14), General_Ledger_Data!D14="#N/A"), "VEND-UNKNOWN", General_Ledger_Data!D14)</f>
        <v>VEND-999</v>
      </c>
      <c r="E14" s="5">
        <f>IFERROR(__xludf.DUMMYFUNCTION("IFERROR(VALUE(REGEXREPLACE(TO_TEXT(General_Ledger_Data!E14), ""[^0-9.]"", """")), 0)"),0.0)</f>
        <v>0</v>
      </c>
      <c r="F14" s="5">
        <f>IFERROR(__xludf.DUMMYFUNCTION("IFERROR(VALUE(REGEXREPLACE(TO_TEXT(General_Ledger_Data!F14), ""[^0-9.]"", """")), 0)"),45.0)</f>
        <v>45</v>
      </c>
      <c r="G14" s="5">
        <f t="shared" si="1"/>
        <v>0</v>
      </c>
      <c r="H14" s="5" t="str">
        <f>IF(ISNUMBER(General_Ledger_Data!G14), "PASSED CLEAN", "REPAIRED")</f>
        <v>REPAIRED</v>
      </c>
    </row>
    <row r="15">
      <c r="A15" s="5" t="str">
        <f>General_Ledger_Data!A15</f>
        <v>TXN-1014</v>
      </c>
      <c r="B15" s="6">
        <f>General_Ledger_Data!B15</f>
        <v>46029</v>
      </c>
      <c r="C15" s="5" t="str">
        <f>General_Ledger_Data!C15</f>
        <v>6001-OPEX</v>
      </c>
      <c r="D15" s="5" t="str">
        <f>IF(OR(ISBLANK(General_Ledger_Data!D15), General_Ledger_Data!D15="#N/A"), "VEND-UNKNOWN", General_Ledger_Data!D15)</f>
        <v>VEND-814</v>
      </c>
      <c r="E15" s="5">
        <f>IFERROR(__xludf.DUMMYFUNCTION("IFERROR(VALUE(REGEXREPLACE(TO_TEXT(General_Ledger_Data!E15), ""[^0-9.]"", """")), 0)"),220.0)</f>
        <v>220</v>
      </c>
      <c r="F15" s="5">
        <f>IFERROR(__xludf.DUMMYFUNCTION("IFERROR(VALUE(REGEXREPLACE(TO_TEXT(General_Ledger_Data!F15), ""[^0-9.]"", """")), 0)"),22.75)</f>
        <v>22.75</v>
      </c>
      <c r="G15" s="5">
        <f t="shared" si="1"/>
        <v>5005</v>
      </c>
      <c r="H15" s="5" t="str">
        <f>IF(ISNUMBER(General_Ledger_Data!G15), "PASSED CLEAN", "REPAIRED")</f>
        <v>PASSED CLEAN</v>
      </c>
    </row>
    <row r="16">
      <c r="A16" s="5" t="str">
        <f>General_Ledger_Data!A16</f>
        <v>TXN-1015</v>
      </c>
      <c r="B16" s="6">
        <f>General_Ledger_Data!B16</f>
        <v>46030</v>
      </c>
      <c r="C16" s="5" t="str">
        <f>General_Ledger_Data!C16</f>
        <v>6004-TRAVEL</v>
      </c>
      <c r="D16" s="5" t="str">
        <f>IF(OR(ISBLANK(General_Ledger_Data!D16), General_Ledger_Data!D16="#N/A"), "VEND-UNKNOWN", General_Ledger_Data!D16)</f>
        <v>VEND-815</v>
      </c>
      <c r="E16" s="5">
        <f>IFERROR(__xludf.DUMMYFUNCTION("IFERROR(VALUE(REGEXREPLACE(TO_TEXT(General_Ledger_Data!E16), ""[^0-9.]"", """")), 0)"),15.0)</f>
        <v>15</v>
      </c>
      <c r="F16" s="5">
        <f>IFERROR(__xludf.DUMMYFUNCTION("IFERROR(VALUE(REGEXREPLACE(TO_TEXT(General_Ledger_Data!F16), ""[^0-9.]"", """")), 0)"),320.0)</f>
        <v>320</v>
      </c>
      <c r="G16" s="5">
        <f t="shared" si="1"/>
        <v>4800</v>
      </c>
      <c r="H16" s="5" t="str">
        <f>IF(ISNUMBER(General_Ledger_Data!G16), "PASSED CLEAN", "REPAIRED")</f>
        <v>PASSED CLEAN</v>
      </c>
    </row>
    <row r="17">
      <c r="A17" s="5" t="str">
        <f>General_Ledger_Data!A17</f>
        <v>TXN-1016</v>
      </c>
      <c r="B17" s="6">
        <f>General_Ledger_Data!B17</f>
        <v>46030</v>
      </c>
      <c r="C17" s="5" t="str">
        <f>General_Ledger_Data!C17</f>
        <v>6001-OPEX</v>
      </c>
      <c r="D17" s="5" t="str">
        <f>IF(OR(ISBLANK(General_Ledger_Data!D17), General_Ledger_Data!D17="#N/A"), "VEND-UNKNOWN", General_Ledger_Data!D17)</f>
        <v>VEND-816</v>
      </c>
      <c r="E17" s="5">
        <f>IFERROR(__xludf.DUMMYFUNCTION("IFERROR(VALUE(REGEXREPLACE(TO_TEXT(General_Ledger_Data!E17), ""[^0-9.]"", """")), 0)"),90.0)</f>
        <v>90</v>
      </c>
      <c r="F17" s="5">
        <f>IFERROR(__xludf.DUMMYFUNCTION("IFERROR(VALUE(REGEXREPLACE(TO_TEXT(General_Ledger_Data!F17), ""[^0-9.]"", """")), 0)"),0.0)</f>
        <v>0</v>
      </c>
      <c r="G17" s="5">
        <f t="shared" si="1"/>
        <v>0</v>
      </c>
      <c r="H17" s="5" t="str">
        <f>IF(ISNUMBER(General_Ledger_Data!G17), "PASSED CLEAN", "REPAIRED")</f>
        <v>REPAIRED</v>
      </c>
    </row>
    <row r="18">
      <c r="A18" s="5" t="str">
        <f>General_Ledger_Data!A18</f>
        <v>TXN-1017</v>
      </c>
      <c r="B18" s="6">
        <f>General_Ledger_Data!B18</f>
        <v>46031</v>
      </c>
      <c r="C18" s="5" t="str">
        <f>General_Ledger_Data!C18</f>
        <v>6002-CAPEX</v>
      </c>
      <c r="D18" s="5" t="str">
        <f>IF(OR(ISBLANK(General_Ledger_Data!D18), General_Ledger_Data!D18="#N/A"), "VEND-UNKNOWN", General_Ledger_Data!D18)</f>
        <v>VEND-817</v>
      </c>
      <c r="E18" s="5">
        <f>IFERROR(__xludf.DUMMYFUNCTION("IFERROR(VALUE(REGEXREPLACE(TO_TEXT(General_Ledger_Data!E18), ""[^0-9.]"", """")), 0)"),400.0)</f>
        <v>400</v>
      </c>
      <c r="F18" s="5">
        <f>IFERROR(__xludf.DUMMYFUNCTION("IFERROR(VALUE(REGEXREPLACE(TO_TEXT(General_Ledger_Data!F18), ""[^0-9.]"", """")), 0)"),18.0)</f>
        <v>18</v>
      </c>
      <c r="G18" s="5">
        <f t="shared" si="1"/>
        <v>7200</v>
      </c>
      <c r="H18" s="5" t="str">
        <f>IF(ISNUMBER(General_Ledger_Data!G18), "PASSED CLEAN", "REPAIRED")</f>
        <v>PASSED CLEAN</v>
      </c>
    </row>
    <row r="19">
      <c r="A19" s="5" t="str">
        <f>General_Ledger_Data!A19</f>
        <v>TXN-1018</v>
      </c>
      <c r="B19" s="6">
        <f>General_Ledger_Data!B19</f>
        <v>46031</v>
      </c>
      <c r="C19" s="5" t="str">
        <f>General_Ledger_Data!C19</f>
        <v>6003-SUPPLY</v>
      </c>
      <c r="D19" s="5" t="str">
        <f>IF(OR(ISBLANK(General_Ledger_Data!D19), General_Ledger_Data!D19="#N/A"), "VEND-UNKNOWN", General_Ledger_Data!D19)</f>
        <v>VEND-818</v>
      </c>
      <c r="E19" s="5">
        <f>IFERROR(__xludf.DUMMYFUNCTION("IFERROR(VALUE(REGEXREPLACE(TO_TEXT(General_Ledger_Data!E19), ""[^0-9.]"", """")), 0)"),0.0)</f>
        <v>0</v>
      </c>
      <c r="F19" s="5">
        <f>IFERROR(__xludf.DUMMYFUNCTION("IFERROR(VALUE(REGEXREPLACE(TO_TEXT(General_Ledger_Data!F19), ""[^0-9.]"", """")), 0)"),55.0)</f>
        <v>55</v>
      </c>
      <c r="G19" s="5">
        <f t="shared" si="1"/>
        <v>0</v>
      </c>
      <c r="H19" s="5" t="str">
        <f>IF(ISNUMBER(General_Ledger_Data!G19), "PASSED CLEAN", "REPAIRED")</f>
        <v>REPAIRED</v>
      </c>
    </row>
    <row r="20">
      <c r="A20" s="5" t="str">
        <f>General_Ledger_Data!A20</f>
        <v>TXN-1019</v>
      </c>
      <c r="B20" s="6">
        <f>General_Ledger_Data!B20</f>
        <v>46032</v>
      </c>
      <c r="C20" s="5" t="str">
        <f>General_Ledger_Data!C20</f>
        <v>6001-OPEX</v>
      </c>
      <c r="D20" s="5" t="str">
        <f>IF(OR(ISBLANK(General_Ledger_Data!D20), General_Ledger_Data!D20="#N/A"), "VEND-UNKNOWN", General_Ledger_Data!D20)</f>
        <v>VEND-999</v>
      </c>
      <c r="E20" s="5">
        <f>IFERROR(__xludf.DUMMYFUNCTION("IFERROR(VALUE(REGEXREPLACE(TO_TEXT(General_Ledger_Data!E20), ""[^0-9.]"", """")), 0)"),110.0)</f>
        <v>110</v>
      </c>
      <c r="F20" s="5">
        <f>IFERROR(__xludf.DUMMYFUNCTION("IFERROR(VALUE(REGEXREPLACE(TO_TEXT(General_Ledger_Data!F20), ""[^0-9.]"", """")), 0)"),0.0)</f>
        <v>0</v>
      </c>
      <c r="G20" s="5">
        <f t="shared" si="1"/>
        <v>0</v>
      </c>
      <c r="H20" s="5" t="str">
        <f>IF(ISNUMBER(General_Ledger_Data!G20), "PASSED CLEAN", "REPAIRED")</f>
        <v>REPAIRED</v>
      </c>
    </row>
    <row r="21">
      <c r="A21" s="5" t="str">
        <f>General_Ledger_Data!A21</f>
        <v>TXN-1020</v>
      </c>
      <c r="B21" s="6">
        <f>General_Ledger_Data!B21</f>
        <v>46032</v>
      </c>
      <c r="C21" s="5" t="str">
        <f>General_Ledger_Data!C21</f>
        <v>6004-TRAVEL</v>
      </c>
      <c r="D21" s="5" t="str">
        <f>IF(OR(ISBLANK(General_Ledger_Data!D21), General_Ledger_Data!D21="#N/A"), "VEND-UNKNOWN", General_Ledger_Data!D21)</f>
        <v>VEND-820</v>
      </c>
      <c r="E21" s="5">
        <f>IFERROR(__xludf.DUMMYFUNCTION("IFERROR(VALUE(REGEXREPLACE(TO_TEXT(General_Ledger_Data!E21), ""[^0-9.]"", """")), 0)"),60.0)</f>
        <v>60</v>
      </c>
      <c r="F21" s="5">
        <f>IFERROR(__xludf.DUMMYFUNCTION("IFERROR(VALUE(REGEXREPLACE(TO_TEXT(General_Ledger_Data!F21), ""[^0-9.]"", """")), 0)"),145.0)</f>
        <v>145</v>
      </c>
      <c r="G21" s="5">
        <f t="shared" si="1"/>
        <v>8700</v>
      </c>
      <c r="H21" s="5" t="str">
        <f>IF(ISNUMBER(General_Ledger_Data!G21), "PASSED CLEAN", "REPAIRED")</f>
        <v>PASSED CLEAN</v>
      </c>
    </row>
    <row r="22">
      <c r="A22" s="5" t="str">
        <f>General_Ledger_Data!A22</f>
        <v>TXN-1021</v>
      </c>
      <c r="B22" s="6">
        <f>General_Ledger_Data!B22</f>
        <v>46033</v>
      </c>
      <c r="C22" s="5" t="str">
        <f>General_Ledger_Data!C22</f>
        <v>6001-OPEX</v>
      </c>
      <c r="D22" s="5" t="str">
        <f>IF(OR(ISBLANK(General_Ledger_Data!D22), General_Ledger_Data!D22="#N/A"), "VEND-UNKNOWN", General_Ledger_Data!D22)</f>
        <v>VEND-821</v>
      </c>
      <c r="E22" s="5">
        <f>IFERROR(__xludf.DUMMYFUNCTION("IFERROR(VALUE(REGEXREPLACE(TO_TEXT(General_Ledger_Data!E22), ""[^0-9.]"", """")), 0)"),300.0)</f>
        <v>300</v>
      </c>
      <c r="F22" s="5">
        <f>IFERROR(__xludf.DUMMYFUNCTION("IFERROR(VALUE(REGEXREPLACE(TO_TEXT(General_Ledger_Data!F22), ""[^0-9.]"", """")), 0)"),14.0)</f>
        <v>14</v>
      </c>
      <c r="G22" s="5">
        <f t="shared" si="1"/>
        <v>4200</v>
      </c>
      <c r="H22" s="5" t="str">
        <f>IF(ISNUMBER(General_Ledger_Data!G22), "PASSED CLEAN", "REPAIRED")</f>
        <v>PASSED CLEAN</v>
      </c>
    </row>
    <row r="23">
      <c r="A23" s="5" t="str">
        <f>General_Ledger_Data!A23</f>
        <v>TXN-1022</v>
      </c>
      <c r="B23" s="6">
        <f>General_Ledger_Data!B23</f>
        <v>46033</v>
      </c>
      <c r="C23" s="5" t="str">
        <f>General_Ledger_Data!C23</f>
        <v>6002-CAPEX</v>
      </c>
      <c r="D23" s="5" t="str">
        <f>IF(OR(ISBLANK(General_Ledger_Data!D23), General_Ledger_Data!D23="#N/A"), "VEND-UNKNOWN", General_Ledger_Data!D23)</f>
        <v>VEND-822</v>
      </c>
      <c r="E23" s="5">
        <f>IFERROR(__xludf.DUMMYFUNCTION("IFERROR(VALUE(REGEXREPLACE(TO_TEXT(General_Ledger_Data!E23), ""[^0-9.]"", """")), 0)"),25.0)</f>
        <v>25</v>
      </c>
      <c r="F23" s="5">
        <f>IFERROR(__xludf.DUMMYFUNCTION("IFERROR(VALUE(REGEXREPLACE(TO_TEXT(General_Ledger_Data!F23), ""[^0-9.]"", """")), 0)"),450.0)</f>
        <v>450</v>
      </c>
      <c r="G23" s="5">
        <f t="shared" si="1"/>
        <v>11250</v>
      </c>
      <c r="H23" s="5" t="str">
        <f>IF(ISNUMBER(General_Ledger_Data!G23), "PASSED CLEAN", "REPAIRED")</f>
        <v>PASSED CLEAN</v>
      </c>
    </row>
    <row r="24">
      <c r="A24" s="5" t="str">
        <f>General_Ledger_Data!A24</f>
        <v>TXN-1023</v>
      </c>
      <c r="B24" s="6">
        <f>General_Ledger_Data!B24</f>
        <v>46034</v>
      </c>
      <c r="C24" s="5" t="str">
        <f>General_Ledger_Data!C24</f>
        <v>6003-SUPPLY</v>
      </c>
      <c r="D24" s="5" t="str">
        <f>IF(OR(ISBLANK(General_Ledger_Data!D24), General_Ledger_Data!D24="#N/A"), "VEND-UNKNOWN", General_Ledger_Data!D24)</f>
        <v>VEND-823</v>
      </c>
      <c r="E24" s="5">
        <f>IFERROR(__xludf.DUMMYFUNCTION("IFERROR(VALUE(REGEXREPLACE(TO_TEXT(General_Ledger_Data!E24), ""[^0-9.]"", """")), 0)"),180.0)</f>
        <v>180</v>
      </c>
      <c r="F24" s="5">
        <f>IFERROR(__xludf.DUMMYFUNCTION("IFERROR(VALUE(REGEXREPLACE(TO_TEXT(General_Ledger_Data!F24), ""[^0-9.]"", """")), 0)"),35.0)</f>
        <v>35</v>
      </c>
      <c r="G24" s="5">
        <f t="shared" si="1"/>
        <v>6300</v>
      </c>
      <c r="H24" s="5" t="str">
        <f>IF(ISNUMBER(General_Ledger_Data!G24), "PASSED CLEAN", "REPAIRED")</f>
        <v>PASSED CLEAN</v>
      </c>
    </row>
    <row r="25">
      <c r="A25" s="5" t="str">
        <f>General_Ledger_Data!A25</f>
        <v>TXN-1024</v>
      </c>
      <c r="B25" s="6">
        <f>General_Ledger_Data!B25</f>
        <v>46034</v>
      </c>
      <c r="C25" s="5" t="str">
        <f>General_Ledger_Data!C25</f>
        <v>6001-OPEX</v>
      </c>
      <c r="D25" s="5" t="str">
        <f>IF(OR(ISBLANK(General_Ledger_Data!D25), General_Ledger_Data!D25="#N/A"), "VEND-UNKNOWN", General_Ledger_Data!D25)</f>
        <v>VEND-824</v>
      </c>
      <c r="E25" s="5">
        <f>IFERROR(__xludf.DUMMYFUNCTION("IFERROR(VALUE(REGEXREPLACE(TO_TEXT(General_Ledger_Data!E25), ""[^0-9.]"", """")), 0)"),0.0)</f>
        <v>0</v>
      </c>
      <c r="F25" s="5">
        <f>IFERROR(__xludf.DUMMYFUNCTION("IFERROR(VALUE(REGEXREPLACE(TO_TEXT(General_Ledger_Data!F25), ""[^0-9.]"", """")), 0)"),90.0)</f>
        <v>90</v>
      </c>
      <c r="G25" s="5">
        <f t="shared" si="1"/>
        <v>0</v>
      </c>
      <c r="H25" s="5" t="str">
        <f>IF(ISNUMBER(General_Ledger_Data!G25), "PASSED CLEAN", "REPAIRED")</f>
        <v>REPAIRED</v>
      </c>
    </row>
    <row r="26">
      <c r="A26" s="5" t="str">
        <f>General_Ledger_Data!A26</f>
        <v>TXN-1025</v>
      </c>
      <c r="B26" s="6">
        <f>General_Ledger_Data!B26</f>
        <v>46035</v>
      </c>
      <c r="C26" s="5" t="str">
        <f>General_Ledger_Data!C26</f>
        <v>6004-TRAVEL</v>
      </c>
      <c r="D26" s="5" t="str">
        <f>IF(OR(ISBLANK(General_Ledger_Data!D26), General_Ledger_Data!D26="#N/A"), "VEND-UNKNOWN", General_Ledger_Data!D26)</f>
        <v>VEND-825</v>
      </c>
      <c r="E26" s="5">
        <f>IFERROR(__xludf.DUMMYFUNCTION("IFERROR(VALUE(REGEXREPLACE(TO_TEXT(General_Ledger_Data!E26), ""[^0-9.]"", """")), 0)"),45.0)</f>
        <v>45</v>
      </c>
      <c r="F26" s="5">
        <f>IFERROR(__xludf.DUMMYFUNCTION("IFERROR(VALUE(REGEXREPLACE(TO_TEXT(General_Ledger_Data!F26), ""[^0-9.]"", """")), 0)"),210.0)</f>
        <v>210</v>
      </c>
      <c r="G26" s="5">
        <f t="shared" si="1"/>
        <v>9450</v>
      </c>
      <c r="H26" s="5" t="str">
        <f>IF(ISNUMBER(General_Ledger_Data!G26), "PASSED CLEAN", "REPAIRED")</f>
        <v>PASSED CLEAN</v>
      </c>
    </row>
    <row r="27">
      <c r="A27" s="5" t="str">
        <f>General_Ledger_Data!A27</f>
        <v>TXN-1026</v>
      </c>
      <c r="B27" s="6">
        <f>General_Ledger_Data!B27</f>
        <v>46035</v>
      </c>
      <c r="C27" s="5" t="str">
        <f>General_Ledger_Data!C27</f>
        <v>6001-OPEX</v>
      </c>
      <c r="D27" s="5" t="str">
        <f>IF(OR(ISBLANK(General_Ledger_Data!D27), General_Ledger_Data!D27="#N/A"), "VEND-UNKNOWN", General_Ledger_Data!D27)</f>
        <v>VEND-999</v>
      </c>
      <c r="E27" s="5">
        <f>IFERROR(__xludf.DUMMYFUNCTION("IFERROR(VALUE(REGEXREPLACE(TO_TEXT(General_Ledger_Data!E27), ""[^0-9.]"", """")), 0)"),500.0)</f>
        <v>500</v>
      </c>
      <c r="F27" s="5">
        <f>IFERROR(__xludf.DUMMYFUNCTION("IFERROR(VALUE(REGEXREPLACE(TO_TEXT(General_Ledger_Data!F27), ""[^0-9.]"", """")), 0)"),0.0)</f>
        <v>0</v>
      </c>
      <c r="G27" s="5">
        <f t="shared" si="1"/>
        <v>0</v>
      </c>
      <c r="H27" s="5" t="str">
        <f>IF(ISNUMBER(General_Ledger_Data!G27), "PASSED CLEAN", "REPAIRED")</f>
        <v>REPAIRED</v>
      </c>
    </row>
    <row r="28">
      <c r="A28" s="5" t="str">
        <f>General_Ledger_Data!A28</f>
        <v>TXN-1027</v>
      </c>
      <c r="B28" s="6">
        <f>General_Ledger_Data!B28</f>
        <v>46036</v>
      </c>
      <c r="C28" s="5" t="str">
        <f>General_Ledger_Data!C28</f>
        <v>6002-CAPEX</v>
      </c>
      <c r="D28" s="5" t="str">
        <f>IF(OR(ISBLANK(General_Ledger_Data!D28), General_Ledger_Data!D28="#N/A"), "VEND-UNKNOWN", General_Ledger_Data!D28)</f>
        <v>VEND-827</v>
      </c>
      <c r="E28" s="5">
        <f>IFERROR(__xludf.DUMMYFUNCTION("IFERROR(VALUE(REGEXREPLACE(TO_TEXT(General_Ledger_Data!E28), ""[^0-9.]"", """")), 0)"),85.0)</f>
        <v>85</v>
      </c>
      <c r="F28" s="5">
        <f>IFERROR(__xludf.DUMMYFUNCTION("IFERROR(VALUE(REGEXREPLACE(TO_TEXT(General_Ledger_Data!F28), ""[^0-9.]"", """")), 0)"),180.0)</f>
        <v>180</v>
      </c>
      <c r="G28" s="5">
        <f t="shared" si="1"/>
        <v>15300</v>
      </c>
      <c r="H28" s="5" t="str">
        <f>IF(ISNUMBER(General_Ledger_Data!G28), "PASSED CLEAN", "REPAIRED")</f>
        <v>PASSED CLEAN</v>
      </c>
    </row>
    <row r="29">
      <c r="A29" s="5" t="str">
        <f>General_Ledger_Data!A29</f>
        <v>TXN-1028</v>
      </c>
      <c r="B29" s="6">
        <f>General_Ledger_Data!B29</f>
        <v>46036</v>
      </c>
      <c r="C29" s="5" t="str">
        <f>General_Ledger_Data!C29</f>
        <v>6003-SUPPLY</v>
      </c>
      <c r="D29" s="5" t="str">
        <f>IF(OR(ISBLANK(General_Ledger_Data!D29), General_Ledger_Data!D29="#N/A"), "VEND-UNKNOWN", General_Ledger_Data!D29)</f>
        <v>VEND-828</v>
      </c>
      <c r="E29" s="5">
        <f>IFERROR(__xludf.DUMMYFUNCTION("IFERROR(VALUE(REGEXREPLACE(TO_TEXT(General_Ledger_Data!E29), ""[^0-9.]"", """")), 0)"),0.0)</f>
        <v>0</v>
      </c>
      <c r="F29" s="5">
        <f>IFERROR(__xludf.DUMMYFUNCTION("IFERROR(VALUE(REGEXREPLACE(TO_TEXT(General_Ledger_Data!F29), ""[^0-9.]"", """")), 0)"),85.0)</f>
        <v>85</v>
      </c>
      <c r="G29" s="5">
        <f t="shared" si="1"/>
        <v>0</v>
      </c>
      <c r="H29" s="5" t="str">
        <f>IF(ISNUMBER(General_Ledger_Data!G29), "PASSED CLEAN", "REPAIRED")</f>
        <v>REPAIRED</v>
      </c>
    </row>
    <row r="30">
      <c r="A30" s="5" t="str">
        <f>General_Ledger_Data!A30</f>
        <v>TXN-1029</v>
      </c>
      <c r="B30" s="6">
        <f>General_Ledger_Data!B30</f>
        <v>46037</v>
      </c>
      <c r="C30" s="5" t="str">
        <f>General_Ledger_Data!C30</f>
        <v>6001-OPEX</v>
      </c>
      <c r="D30" s="5" t="str">
        <f>IF(OR(ISBLANK(General_Ledger_Data!D30), General_Ledger_Data!D30="#N/A"), "VEND-UNKNOWN", General_Ledger_Data!D30)</f>
        <v>VEND-829</v>
      </c>
      <c r="E30" s="5">
        <f>IFERROR(__xludf.DUMMYFUNCTION("IFERROR(VALUE(REGEXREPLACE(TO_TEXT(General_Ledger_Data!E30), ""[^0-9.]"", """")), 0)"),135.0)</f>
        <v>135</v>
      </c>
      <c r="F30" s="5">
        <f>IFERROR(__xludf.DUMMYFUNCTION("IFERROR(VALUE(REGEXREPLACE(TO_TEXT(General_Ledger_Data!F30), ""[^0-9.]"", """")), 0)"),50.0)</f>
        <v>50</v>
      </c>
      <c r="G30" s="5">
        <f t="shared" si="1"/>
        <v>6750</v>
      </c>
      <c r="H30" s="5" t="str">
        <f>IF(ISNUMBER(General_Ledger_Data!G30), "PASSED CLEAN", "REPAIRED")</f>
        <v>PASSED CLEAN</v>
      </c>
    </row>
    <row r="31">
      <c r="A31" s="5" t="str">
        <f>General_Ledger_Data!A31</f>
        <v>TXN-1030</v>
      </c>
      <c r="B31" s="6">
        <f>General_Ledger_Data!B31</f>
        <v>46037</v>
      </c>
      <c r="C31" s="5" t="str">
        <f>General_Ledger_Data!C31</f>
        <v>6004-TRAVEL</v>
      </c>
      <c r="D31" s="5" t="str">
        <f>IF(OR(ISBLANK(General_Ledger_Data!D31), General_Ledger_Data!D31="#N/A"), "VEND-UNKNOWN", General_Ledger_Data!D31)</f>
        <v>VEND-830</v>
      </c>
      <c r="E31" s="5">
        <f>IFERROR(__xludf.DUMMYFUNCTION("IFERROR(VALUE(REGEXREPLACE(TO_TEXT(General_Ledger_Data!E31), ""[^0-9.]"", """")), 0)"),70.0)</f>
        <v>70</v>
      </c>
      <c r="F31" s="5">
        <f>IFERROR(__xludf.DUMMYFUNCTION("IFERROR(VALUE(REGEXREPLACE(TO_TEXT(General_Ledger_Data!F31), ""[^0-9.]"", """")), 0)"),110.0)</f>
        <v>110</v>
      </c>
      <c r="G31" s="5">
        <f t="shared" si="1"/>
        <v>7700</v>
      </c>
      <c r="H31" s="5" t="str">
        <f>IF(ISNUMBER(General_Ledger_Data!G31), "PASSED CLEAN", "REPAIRED")</f>
        <v>PASSED CLEAN</v>
      </c>
    </row>
    <row r="32">
      <c r="A32" s="5" t="str">
        <f>General_Ledger_Data!A32</f>
        <v>TXN-1031</v>
      </c>
      <c r="B32" s="6">
        <f>General_Ledger_Data!B32</f>
        <v>46038</v>
      </c>
      <c r="C32" s="5" t="str">
        <f>General_Ledger_Data!C32</f>
        <v>6001-OPEX</v>
      </c>
      <c r="D32" s="5" t="str">
        <f>IF(OR(ISBLANK(General_Ledger_Data!D32), General_Ledger_Data!D32="#N/A"), "VEND-UNKNOWN", General_Ledger_Data!D32)</f>
        <v>VEND-831</v>
      </c>
      <c r="E32" s="5">
        <f>IFERROR(__xludf.DUMMYFUNCTION("IFERROR(VALUE(REGEXREPLACE(TO_TEXT(General_Ledger_Data!E32), ""[^0-9.]"", """")), 0)"),160.0)</f>
        <v>160</v>
      </c>
      <c r="F32" s="5">
        <f>IFERROR(__xludf.DUMMYFUNCTION("IFERROR(VALUE(REGEXREPLACE(TO_TEXT(General_Ledger_Data!F32), ""[^0-9.]"", """")), 0)"),42.0)</f>
        <v>42</v>
      </c>
      <c r="G32" s="5">
        <f t="shared" si="1"/>
        <v>6720</v>
      </c>
      <c r="H32" s="5" t="str">
        <f>IF(ISNUMBER(General_Ledger_Data!G32), "PASSED CLEAN", "REPAIRED")</f>
        <v>PASSED CLEAN</v>
      </c>
    </row>
    <row r="33">
      <c r="A33" s="5" t="str">
        <f>General_Ledger_Data!A33</f>
        <v>TXN-1032</v>
      </c>
      <c r="B33" s="6">
        <f>General_Ledger_Data!B33</f>
        <v>46038</v>
      </c>
      <c r="C33" s="5" t="str">
        <f>General_Ledger_Data!C33</f>
        <v>6002-CAPEX</v>
      </c>
      <c r="D33" s="5" t="str">
        <f>IF(OR(ISBLANK(General_Ledger_Data!D33), General_Ledger_Data!D33="#N/A"), "VEND-UNKNOWN", General_Ledger_Data!D33)</f>
        <v>VEND-832</v>
      </c>
      <c r="E33" s="5">
        <f>IFERROR(__xludf.DUMMYFUNCTION("IFERROR(VALUE(REGEXREPLACE(TO_TEXT(General_Ledger_Data!E33), ""[^0-9.]"", """")), 0)"),95.0)</f>
        <v>95</v>
      </c>
      <c r="F33" s="5">
        <f>IFERROR(__xludf.DUMMYFUNCTION("IFERROR(VALUE(REGEXREPLACE(TO_TEXT(General_Ledger_Data!F33), ""[^0-9.]"", """")), 0)"),310.0)</f>
        <v>310</v>
      </c>
      <c r="G33" s="5">
        <f t="shared" si="1"/>
        <v>29450</v>
      </c>
      <c r="H33" s="5" t="str">
        <f>IF(ISNUMBER(General_Ledger_Data!G33), "PASSED CLEAN", "REPAIRED")</f>
        <v>PASSED CLEAN</v>
      </c>
    </row>
    <row r="34">
      <c r="A34" s="5" t="str">
        <f>General_Ledger_Data!A34</f>
        <v>TXN-1033</v>
      </c>
      <c r="B34" s="6">
        <f>General_Ledger_Data!B34</f>
        <v>46039</v>
      </c>
      <c r="C34" s="5" t="str">
        <f>General_Ledger_Data!C34</f>
        <v>6003-SUPPLY</v>
      </c>
      <c r="D34" s="5" t="str">
        <f>IF(OR(ISBLANK(General_Ledger_Data!D34), General_Ledger_Data!D34="#N/A"), "VEND-UNKNOWN", General_Ledger_Data!D34)</f>
        <v>VEND-999</v>
      </c>
      <c r="E34" s="5">
        <f>IFERROR(__xludf.DUMMYFUNCTION("IFERROR(VALUE(REGEXREPLACE(TO_TEXT(General_Ledger_Data!E34), ""[^0-9.]"", """")), 0)"),0.0)</f>
        <v>0</v>
      </c>
      <c r="F34" s="5">
        <f>IFERROR(__xludf.DUMMYFUNCTION("IFERROR(VALUE(REGEXREPLACE(TO_TEXT(General_Ledger_Data!F34), ""[^0-9.]"", """")), 0)"),15.0)</f>
        <v>15</v>
      </c>
      <c r="G34" s="5">
        <f t="shared" si="1"/>
        <v>0</v>
      </c>
      <c r="H34" s="5" t="str">
        <f>IF(ISNUMBER(General_Ledger_Data!G34), "PASSED CLEAN", "REPAIRED")</f>
        <v>REPAIRED</v>
      </c>
    </row>
    <row r="35">
      <c r="A35" s="5" t="str">
        <f>General_Ledger_Data!A35</f>
        <v>TXN-1034</v>
      </c>
      <c r="B35" s="6">
        <f>General_Ledger_Data!B35</f>
        <v>46039</v>
      </c>
      <c r="C35" s="5" t="str">
        <f>General_Ledger_Data!C35</f>
        <v>6001-OPEX</v>
      </c>
      <c r="D35" s="5" t="str">
        <f>IF(OR(ISBLANK(General_Ledger_Data!D35), General_Ledger_Data!D35="#N/A"), "VEND-UNKNOWN", General_Ledger_Data!D35)</f>
        <v>VEND-834</v>
      </c>
      <c r="E35" s="5">
        <f>IFERROR(__xludf.DUMMYFUNCTION("IFERROR(VALUE(REGEXREPLACE(TO_TEXT(General_Ledger_Data!E35), ""[^0-9.]"", """")), 0)"),210.0)</f>
        <v>210</v>
      </c>
      <c r="F35" s="5">
        <f>IFERROR(__xludf.DUMMYFUNCTION("IFERROR(VALUE(REGEXREPLACE(TO_TEXT(General_Ledger_Data!F35), ""[^0-9.]"", """")), 0)"),65.0)</f>
        <v>65</v>
      </c>
      <c r="G35" s="5">
        <f t="shared" si="1"/>
        <v>13650</v>
      </c>
      <c r="H35" s="5" t="str">
        <f>IF(ISNUMBER(General_Ledger_Data!G35), "PASSED CLEAN", "REPAIRED")</f>
        <v>PASSED CLEAN</v>
      </c>
    </row>
    <row r="36">
      <c r="A36" s="5" t="str">
        <f>General_Ledger_Data!A36</f>
        <v>TXN-1035</v>
      </c>
      <c r="B36" s="6">
        <f>General_Ledger_Data!B36</f>
        <v>46040</v>
      </c>
      <c r="C36" s="5" t="str">
        <f>General_Ledger_Data!C36</f>
        <v>6004-TRAVEL</v>
      </c>
      <c r="D36" s="5" t="str">
        <f>IF(OR(ISBLANK(General_Ledger_Data!D36), General_Ledger_Data!D36="#N/A"), "VEND-UNKNOWN", General_Ledger_Data!D36)</f>
        <v>VEND-835</v>
      </c>
      <c r="E36" s="5">
        <f>IFERROR(__xludf.DUMMYFUNCTION("IFERROR(VALUE(REGEXREPLACE(TO_TEXT(General_Ledger_Data!E36), ""[^0-9.]"", """")), 0)"),30.0)</f>
        <v>30</v>
      </c>
      <c r="F36" s="5">
        <f>IFERROR(__xludf.DUMMYFUNCTION("IFERROR(VALUE(REGEXREPLACE(TO_TEXT(General_Ledger_Data!F36), ""[^0-9.]"", """")), 0)"),400.0)</f>
        <v>400</v>
      </c>
      <c r="G36" s="5">
        <f t="shared" si="1"/>
        <v>12000</v>
      </c>
      <c r="H36" s="5" t="str">
        <f>IF(ISNUMBER(General_Ledger_Data!G36), "PASSED CLEAN", "REPAIRED")</f>
        <v>PASSED CLEAN</v>
      </c>
    </row>
    <row r="37">
      <c r="A37" s="5" t="str">
        <f>General_Ledger_Data!A37</f>
        <v>TXN-1036</v>
      </c>
      <c r="B37" s="6">
        <f>General_Ledger_Data!B37</f>
        <v>46040</v>
      </c>
      <c r="C37" s="5" t="str">
        <f>General_Ledger_Data!C37</f>
        <v>6001-OPEX</v>
      </c>
      <c r="D37" s="5" t="str">
        <f>IF(OR(ISBLANK(General_Ledger_Data!D37), General_Ledger_Data!D37="#N/A"), "VEND-UNKNOWN", General_Ledger_Data!D37)</f>
        <v>VEND-836</v>
      </c>
      <c r="E37" s="5">
        <f>IFERROR(__xludf.DUMMYFUNCTION("IFERROR(VALUE(REGEXREPLACE(TO_TEXT(General_Ledger_Data!E37), ""[^0-9.]"", """")), 0)"),115.0)</f>
        <v>115</v>
      </c>
      <c r="F37" s="5">
        <f>IFERROR(__xludf.DUMMYFUNCTION("IFERROR(VALUE(REGEXREPLACE(TO_TEXT(General_Ledger_Data!F37), ""[^0-9.]"", """")), 0)"),0.0)</f>
        <v>0</v>
      </c>
      <c r="G37" s="5">
        <f t="shared" si="1"/>
        <v>0</v>
      </c>
      <c r="H37" s="5" t="str">
        <f>IF(ISNUMBER(General_Ledger_Data!G37), "PASSED CLEAN", "REPAIRED")</f>
        <v>REPAIRED</v>
      </c>
    </row>
    <row r="38">
      <c r="A38" s="5" t="str">
        <f>General_Ledger_Data!A38</f>
        <v>TXN-1037</v>
      </c>
      <c r="B38" s="6">
        <f>General_Ledger_Data!B38</f>
        <v>46041</v>
      </c>
      <c r="C38" s="5" t="str">
        <f>General_Ledger_Data!C38</f>
        <v>6002-CAPEX</v>
      </c>
      <c r="D38" s="5" t="str">
        <f>IF(OR(ISBLANK(General_Ledger_Data!D38), General_Ledger_Data!D38="#N/A"), "VEND-UNKNOWN", General_Ledger_Data!D38)</f>
        <v>VEND-837</v>
      </c>
      <c r="E38" s="5">
        <f>IFERROR(__xludf.DUMMYFUNCTION("IFERROR(VALUE(REGEXREPLACE(TO_TEXT(General_Ledger_Data!E38), ""[^0-9.]"", """")), 0)"),350.0)</f>
        <v>350</v>
      </c>
      <c r="F38" s="5">
        <f>IFERROR(__xludf.DUMMYFUNCTION("IFERROR(VALUE(REGEXREPLACE(TO_TEXT(General_Ledger_Data!F38), ""[^0-9.]"", """")), 0)"),22.0)</f>
        <v>22</v>
      </c>
      <c r="G38" s="5">
        <f t="shared" si="1"/>
        <v>7700</v>
      </c>
      <c r="H38" s="5" t="str">
        <f>IF(ISNUMBER(General_Ledger_Data!G38), "PASSED CLEAN", "REPAIRED")</f>
        <v>PASSED CLEAN</v>
      </c>
    </row>
    <row r="39">
      <c r="A39" s="5" t="str">
        <f>General_Ledger_Data!A39</f>
        <v>TXN-1038</v>
      </c>
      <c r="B39" s="6">
        <f>General_Ledger_Data!B39</f>
        <v>46041</v>
      </c>
      <c r="C39" s="5" t="str">
        <f>General_Ledger_Data!C39</f>
        <v>6003-SUPPLY</v>
      </c>
      <c r="D39" s="5" t="str">
        <f>IF(OR(ISBLANK(General_Ledger_Data!D39), General_Ledger_Data!D39="#N/A"), "VEND-UNKNOWN", General_Ledger_Data!D39)</f>
        <v>VEND-838</v>
      </c>
      <c r="E39" s="5">
        <f>IFERROR(__xludf.DUMMYFUNCTION("IFERROR(VALUE(REGEXREPLACE(TO_TEXT(General_Ledger_Data!E39), ""[^0-9.]"", """")), 0)"),0.0)</f>
        <v>0</v>
      </c>
      <c r="F39" s="5">
        <f>IFERROR(__xludf.DUMMYFUNCTION("IFERROR(VALUE(REGEXREPLACE(TO_TEXT(General_Ledger_Data!F39), ""[^0-9.]"", """")), 0)"),45.0)</f>
        <v>45</v>
      </c>
      <c r="G39" s="5">
        <f t="shared" si="1"/>
        <v>0</v>
      </c>
      <c r="H39" s="5" t="str">
        <f>IF(ISNUMBER(General_Ledger_Data!G39), "PASSED CLEAN", "REPAIRED")</f>
        <v>REPAIRED</v>
      </c>
    </row>
    <row r="40">
      <c r="A40" s="5" t="str">
        <f>General_Ledger_Data!A40</f>
        <v>TXN-1039</v>
      </c>
      <c r="B40" s="6">
        <f>General_Ledger_Data!B40</f>
        <v>46042</v>
      </c>
      <c r="C40" s="5" t="str">
        <f>General_Ledger_Data!C40</f>
        <v>6001-OPEX</v>
      </c>
      <c r="D40" s="5" t="str">
        <f>IF(OR(ISBLANK(General_Ledger_Data!D40), General_Ledger_Data!D40="#N/A"), "VEND-UNKNOWN", General_Ledger_Data!D40)</f>
        <v>VEND-839</v>
      </c>
      <c r="E40" s="5">
        <f>IFERROR(__xludf.DUMMYFUNCTION("IFERROR(VALUE(REGEXREPLACE(TO_TEXT(General_Ledger_Data!E40), ""[^0-9.]"", """")), 0)"),85.0)</f>
        <v>85</v>
      </c>
      <c r="F40" s="5">
        <f>IFERROR(__xludf.DUMMYFUNCTION("IFERROR(VALUE(REGEXREPLACE(TO_TEXT(General_Ledger_Data!F40), ""[^0-9.]"", """")), 0)"),125.0)</f>
        <v>125</v>
      </c>
      <c r="G40" s="5">
        <f t="shared" si="1"/>
        <v>10625</v>
      </c>
      <c r="H40" s="5" t="str">
        <f>IF(ISNUMBER(General_Ledger_Data!G40), "PASSED CLEAN", "REPAIRED")</f>
        <v>PASSED CLEAN</v>
      </c>
    </row>
    <row r="41">
      <c r="A41" s="5" t="str">
        <f>General_Ledger_Data!A41</f>
        <v>TXN-1040</v>
      </c>
      <c r="B41" s="6">
        <f>General_Ledger_Data!B41</f>
        <v>46042</v>
      </c>
      <c r="C41" s="5" t="str">
        <f>General_Ledger_Data!C41</f>
        <v>6004-TRAVEL</v>
      </c>
      <c r="D41" s="5" t="str">
        <f>IF(OR(ISBLANK(General_Ledger_Data!D41), General_Ledger_Data!D41="#N/A"), "VEND-UNKNOWN", General_Ledger_Data!D41)</f>
        <v>VEND-840</v>
      </c>
      <c r="E41" s="5">
        <f>IFERROR(__xludf.DUMMYFUNCTION("IFERROR(VALUE(REGEXREPLACE(TO_TEXT(General_Ledger_Data!E41), ""[^0-9.]"", """")), 0)"),450.0)</f>
        <v>450</v>
      </c>
      <c r="F41" s="5">
        <f>IFERROR(__xludf.DUMMYFUNCTION("IFERROR(VALUE(REGEXREPLACE(TO_TEXT(General_Ledger_Data!F41), ""[^0-9.]"", """")), 0)"),8.5)</f>
        <v>8.5</v>
      </c>
      <c r="G41" s="5">
        <f t="shared" si="1"/>
        <v>3825</v>
      </c>
      <c r="H41" s="5" t="str">
        <f>IF(ISNUMBER(General_Ledger_Data!G41), "PASSED CLEAN", "REPAIRED")</f>
        <v>PASSED CLEAN</v>
      </c>
    </row>
    <row r="42">
      <c r="A42" s="5" t="str">
        <f>General_Ledger_Data!A42</f>
        <v>TXN-1041</v>
      </c>
      <c r="B42" s="6">
        <f>General_Ledger_Data!B42</f>
        <v>46043</v>
      </c>
      <c r="C42" s="5" t="str">
        <f>General_Ledger_Data!C42</f>
        <v>6001-OPEX</v>
      </c>
      <c r="D42" s="5" t="str">
        <f>IF(OR(ISBLANK(General_Ledger_Data!D42), General_Ledger_Data!D42="#N/A"), "VEND-UNKNOWN", General_Ledger_Data!D42)</f>
        <v>VEND-841</v>
      </c>
      <c r="E42" s="5">
        <f>IFERROR(__xludf.DUMMYFUNCTION("IFERROR(VALUE(REGEXREPLACE(TO_TEXT(General_Ledger_Data!E42), ""[^0-9.]"", """")), 0)"),95.0)</f>
        <v>95</v>
      </c>
      <c r="F42" s="5">
        <f>IFERROR(__xludf.DUMMYFUNCTION("IFERROR(VALUE(REGEXREPLACE(TO_TEXT(General_Ledger_Data!F42), ""[^0-9.]"", """")), 0)"),75.0)</f>
        <v>75</v>
      </c>
      <c r="G42" s="5">
        <f t="shared" si="1"/>
        <v>7125</v>
      </c>
      <c r="H42" s="5" t="str">
        <f>IF(ISNUMBER(General_Ledger_Data!G42), "PASSED CLEAN", "REPAIRED")</f>
        <v>PASSED CLEAN</v>
      </c>
    </row>
    <row r="43">
      <c r="A43" s="5" t="str">
        <f>General_Ledger_Data!A43</f>
        <v>TXN-1042</v>
      </c>
      <c r="B43" s="6">
        <f>General_Ledger_Data!B43</f>
        <v>46043</v>
      </c>
      <c r="C43" s="5" t="str">
        <f>General_Ledger_Data!C43</f>
        <v>6002-CAPEX</v>
      </c>
      <c r="D43" s="5" t="str">
        <f>IF(OR(ISBLANK(General_Ledger_Data!D43), General_Ledger_Data!D43="#N/A"), "VEND-UNKNOWN", General_Ledger_Data!D43)</f>
        <v>VEND-842</v>
      </c>
      <c r="E43" s="5">
        <f>IFERROR(__xludf.DUMMYFUNCTION("IFERROR(VALUE(REGEXREPLACE(TO_TEXT(General_Ledger_Data!E43), ""[^0-9.]"", """")), 0)"),50.0)</f>
        <v>50</v>
      </c>
      <c r="F43" s="5">
        <f>IFERROR(__xludf.DUMMYFUNCTION("IFERROR(VALUE(REGEXREPLACE(TO_TEXT(General_Ledger_Data!F43), ""[^0-9.]"", """")), 0)"),950.0)</f>
        <v>950</v>
      </c>
      <c r="G43" s="5">
        <f t="shared" si="1"/>
        <v>47500</v>
      </c>
      <c r="H43" s="5" t="str">
        <f>IF(ISNUMBER(General_Ledger_Data!G43), "PASSED CLEAN", "REPAIRED")</f>
        <v>PASSED CLEAN</v>
      </c>
    </row>
    <row r="44">
      <c r="A44" s="5" t="str">
        <f>General_Ledger_Data!A44</f>
        <v>TXN-1043</v>
      </c>
      <c r="B44" s="6">
        <f>General_Ledger_Data!B44</f>
        <v>46044</v>
      </c>
      <c r="C44" s="5" t="str">
        <f>General_Ledger_Data!C44</f>
        <v>6003-SUPPLY</v>
      </c>
      <c r="D44" s="5" t="str">
        <f>IF(OR(ISBLANK(General_Ledger_Data!D44), General_Ledger_Data!D44="#N/A"), "VEND-UNKNOWN", General_Ledger_Data!D44)</f>
        <v>VEND-843</v>
      </c>
      <c r="E44" s="5">
        <f>IFERROR(__xludf.DUMMYFUNCTION("IFERROR(VALUE(REGEXREPLACE(TO_TEXT(General_Ledger_Data!E44), ""[^0-9.]"", """")), 0)"),240.0)</f>
        <v>240</v>
      </c>
      <c r="F44" s="5">
        <f>IFERROR(__xludf.DUMMYFUNCTION("IFERROR(VALUE(REGEXREPLACE(TO_TEXT(General_Ledger_Data!F44), ""[^0-9.]"", """")), 0)"),25.0)</f>
        <v>25</v>
      </c>
      <c r="G44" s="5">
        <f t="shared" si="1"/>
        <v>6000</v>
      </c>
      <c r="H44" s="5" t="str">
        <f>IF(ISNUMBER(General_Ledger_Data!G44), "PASSED CLEAN", "REPAIRED")</f>
        <v>PASSED CLEAN</v>
      </c>
    </row>
    <row r="45">
      <c r="A45" s="5" t="str">
        <f>General_Ledger_Data!A45</f>
        <v>TXN-1044</v>
      </c>
      <c r="B45" s="6">
        <f>General_Ledger_Data!B45</f>
        <v>46044</v>
      </c>
      <c r="C45" s="5" t="str">
        <f>General_Ledger_Data!C45</f>
        <v>6001-OPEX</v>
      </c>
      <c r="D45" s="5" t="str">
        <f>IF(OR(ISBLANK(General_Ledger_Data!D45), General_Ledger_Data!D45="#N/A"), "VEND-UNKNOWN", General_Ledger_Data!D45)</f>
        <v>VEND-844</v>
      </c>
      <c r="E45" s="5">
        <f>IFERROR(__xludf.DUMMYFUNCTION("IFERROR(VALUE(REGEXREPLACE(TO_TEXT(General_Ledger_Data!E45), ""[^0-9.]"", """")), 0)"),0.0)</f>
        <v>0</v>
      </c>
      <c r="F45" s="5">
        <f>IFERROR(__xludf.DUMMYFUNCTION("IFERROR(VALUE(REGEXREPLACE(TO_TEXT(General_Ledger_Data!F45), ""[^0-9.]"", """")), 0)"),60.0)</f>
        <v>60</v>
      </c>
      <c r="G45" s="5">
        <f t="shared" si="1"/>
        <v>0</v>
      </c>
      <c r="H45" s="5" t="str">
        <f>IF(ISNUMBER(General_Ledger_Data!G45), "PASSED CLEAN", "REPAIRED")</f>
        <v>REPAIRED</v>
      </c>
    </row>
    <row r="46">
      <c r="A46" s="5" t="str">
        <f>General_Ledger_Data!A46</f>
        <v>TXN-1045</v>
      </c>
      <c r="B46" s="6">
        <f>General_Ledger_Data!B46</f>
        <v>46045</v>
      </c>
      <c r="C46" s="5" t="str">
        <f>General_Ledger_Data!C46</f>
        <v>6004-TRAVEL</v>
      </c>
      <c r="D46" s="5" t="str">
        <f>IF(OR(ISBLANK(General_Ledger_Data!D46), General_Ledger_Data!D46="#N/A"), "VEND-UNKNOWN", General_Ledger_Data!D46)</f>
        <v>VEND-845</v>
      </c>
      <c r="E46" s="5">
        <f>IFERROR(__xludf.DUMMYFUNCTION("IFERROR(VALUE(REGEXREPLACE(TO_TEXT(General_Ledger_Data!E46), ""[^0-9.]"", """")), 0)"),18.0)</f>
        <v>18</v>
      </c>
      <c r="F46" s="5">
        <f>IFERROR(__xludf.DUMMYFUNCTION("IFERROR(VALUE(REGEXREPLACE(TO_TEXT(General_Ledger_Data!F46), ""[^0-9.]"", """")), 0)"),550.0)</f>
        <v>550</v>
      </c>
      <c r="G46" s="5">
        <f t="shared" si="1"/>
        <v>9900</v>
      </c>
      <c r="H46" s="5" t="str">
        <f>IF(ISNUMBER(General_Ledger_Data!G46), "PASSED CLEAN", "REPAIRED")</f>
        <v>PASSED CLEAN</v>
      </c>
    </row>
    <row r="47">
      <c r="A47" s="5" t="str">
        <f>General_Ledger_Data!A47</f>
        <v>TXN-1046</v>
      </c>
      <c r="B47" s="6">
        <f>General_Ledger_Data!B47</f>
        <v>46045</v>
      </c>
      <c r="C47" s="5" t="str">
        <f>General_Ledger_Data!C47</f>
        <v>6001-OPEX</v>
      </c>
      <c r="D47" s="5" t="str">
        <f>IF(OR(ISBLANK(General_Ledger_Data!D47), General_Ledger_Data!D47="#N/A"), "VEND-UNKNOWN", General_Ledger_Data!D47)</f>
        <v>VEND-999</v>
      </c>
      <c r="E47" s="5">
        <f>IFERROR(__xludf.DUMMYFUNCTION("IFERROR(VALUE(REGEXREPLACE(TO_TEXT(General_Ledger_Data!E47), ""[^0-9.]"", """")), 0)"),0.0)</f>
        <v>0</v>
      </c>
      <c r="F47" s="5">
        <f>IFERROR(__xludf.DUMMYFUNCTION("IFERROR(VALUE(REGEXREPLACE(TO_TEXT(General_Ledger_Data!F47), ""[^0-9.]"", """")), 0)"),0.0)</f>
        <v>0</v>
      </c>
      <c r="G47" s="5">
        <f t="shared" si="1"/>
        <v>0</v>
      </c>
      <c r="H47" s="5" t="str">
        <f>IF(ISNUMBER(General_Ledger_Data!G47), "PASSED CLEAN", "REPAIRED")</f>
        <v>REPAIRED</v>
      </c>
    </row>
    <row r="48">
      <c r="A48" s="5" t="str">
        <f>General_Ledger_Data!A48</f>
        <v>TXN-1047</v>
      </c>
      <c r="B48" s="6">
        <f>General_Ledger_Data!B48</f>
        <v>46046</v>
      </c>
      <c r="C48" s="5" t="str">
        <f>General_Ledger_Data!C48</f>
        <v>6002-CAPEX</v>
      </c>
      <c r="D48" s="5" t="str">
        <f>IF(OR(ISBLANK(General_Ledger_Data!D48), General_Ledger_Data!D48="#N/A"), "VEND-UNKNOWN", General_Ledger_Data!D48)</f>
        <v>VEND-847</v>
      </c>
      <c r="E48" s="5">
        <f>IFERROR(__xludf.DUMMYFUNCTION("IFERROR(VALUE(REGEXREPLACE(TO_TEXT(General_Ledger_Data!E48), ""[^0-9.]"", """")), 0)"),105.0)</f>
        <v>105</v>
      </c>
      <c r="F48" s="5">
        <f>IFERROR(__xludf.DUMMYFUNCTION("IFERROR(VALUE(REGEXREPLACE(TO_TEXT(General_Ledger_Data!F48), ""[^0-9.]"", """")), 0)"),140.0)</f>
        <v>140</v>
      </c>
      <c r="G48" s="5">
        <f t="shared" si="1"/>
        <v>14700</v>
      </c>
      <c r="H48" s="5" t="str">
        <f>IF(ISNUMBER(General_Ledger_Data!G48), "PASSED CLEAN", "REPAIRED")</f>
        <v>PASSED CLEAN</v>
      </c>
    </row>
    <row r="49">
      <c r="A49" s="5" t="str">
        <f>General_Ledger_Data!A49</f>
        <v>TXN-1048</v>
      </c>
      <c r="B49" s="6">
        <f>General_Ledger_Data!B49</f>
        <v>46046</v>
      </c>
      <c r="C49" s="5" t="str">
        <f>General_Ledger_Data!C49</f>
        <v>6003-SUPPLY</v>
      </c>
      <c r="D49" s="5" t="str">
        <f>IF(OR(ISBLANK(General_Ledger_Data!D49), General_Ledger_Data!D49="#N/A"), "VEND-UNKNOWN", General_Ledger_Data!D49)</f>
        <v>VEND-848</v>
      </c>
      <c r="E49" s="5">
        <f>IFERROR(__xludf.DUMMYFUNCTION("IFERROR(VALUE(REGEXREPLACE(TO_TEXT(General_Ledger_Data!E49), ""[^0-9.]"", """")), 0)"),0.0)</f>
        <v>0</v>
      </c>
      <c r="F49" s="5">
        <f>IFERROR(__xludf.DUMMYFUNCTION("IFERROR(VALUE(REGEXREPLACE(TO_TEXT(General_Ledger_Data!F49), ""[^0-9.]"", """")), 0)"),130.0)</f>
        <v>130</v>
      </c>
      <c r="G49" s="5">
        <f t="shared" si="1"/>
        <v>0</v>
      </c>
      <c r="H49" s="5" t="str">
        <f>IF(ISNUMBER(General_Ledger_Data!G49), "PASSED CLEAN", "REPAIRED")</f>
        <v>REPAIRED</v>
      </c>
    </row>
    <row r="50">
      <c r="A50" s="5" t="str">
        <f>General_Ledger_Data!A50</f>
        <v>TXN-1049</v>
      </c>
      <c r="B50" s="6">
        <f>General_Ledger_Data!B50</f>
        <v>46047</v>
      </c>
      <c r="C50" s="5" t="str">
        <f>General_Ledger_Data!C50</f>
        <v>6001-OPEX</v>
      </c>
      <c r="D50" s="5" t="str">
        <f>IF(OR(ISBLANK(General_Ledger_Data!D50), General_Ledger_Data!D50="#N/A"), "VEND-UNKNOWN", General_Ledger_Data!D50)</f>
        <v>VEND-849</v>
      </c>
      <c r="E50" s="5">
        <f>IFERROR(__xludf.DUMMYFUNCTION("IFERROR(VALUE(REGEXREPLACE(TO_TEXT(General_Ledger_Data!E50), ""[^0-9.]"", """")), 0)"),125.0)</f>
        <v>125</v>
      </c>
      <c r="F50" s="5">
        <f>IFERROR(__xludf.DUMMYFUNCTION("IFERROR(VALUE(REGEXREPLACE(TO_TEXT(General_Ledger_Data!F50), ""[^0-9.]"", """")), 0)"),80.0)</f>
        <v>80</v>
      </c>
      <c r="G50" s="5">
        <f t="shared" si="1"/>
        <v>10000</v>
      </c>
      <c r="H50" s="5" t="str">
        <f>IF(ISNUMBER(General_Ledger_Data!G50), "PASSED CLEAN", "REPAIRED")</f>
        <v>PASSED CLEAN</v>
      </c>
    </row>
    <row r="51">
      <c r="A51" s="5" t="str">
        <f>General_Ledger_Data!A51</f>
        <v>TXN-1050</v>
      </c>
      <c r="B51" s="6">
        <f>General_Ledger_Data!B51</f>
        <v>46047</v>
      </c>
      <c r="C51" s="5" t="str">
        <f>General_Ledger_Data!C51</f>
        <v>6004-TRAVEL</v>
      </c>
      <c r="D51" s="5" t="str">
        <f>IF(OR(ISBLANK(General_Ledger_Data!D51), General_Ledger_Data!D51="#N/A"), "VEND-UNKNOWN", General_Ledger_Data!D51)</f>
        <v>VEND-850</v>
      </c>
      <c r="E51" s="5">
        <f>IFERROR(__xludf.DUMMYFUNCTION("IFERROR(VALUE(REGEXREPLACE(TO_TEXT(General_Ledger_Data!E51), ""[^0-9.]"", """")), 0)"),320.0)</f>
        <v>320</v>
      </c>
      <c r="F51" s="5">
        <f>IFERROR(__xludf.DUMMYFUNCTION("IFERROR(VALUE(REGEXREPLACE(TO_TEXT(General_Ledger_Data!F51), ""[^0-9.]"", """")), 0)"),18.25)</f>
        <v>18.25</v>
      </c>
      <c r="G51" s="5">
        <f t="shared" si="1"/>
        <v>5840</v>
      </c>
      <c r="H51" s="5" t="str">
        <f>IF(ISNUMBER(General_Ledger_Data!G51), "PASSED CLEAN", "REPAIRED")</f>
        <v>PASSED CLEAN</v>
      </c>
    </row>
    <row r="52">
      <c r="A52" s="5" t="str">
        <f>General_Ledger_Data!A52</f>
        <v>TXN-1051</v>
      </c>
      <c r="B52" s="6">
        <f>General_Ledger_Data!B52</f>
        <v>46048</v>
      </c>
      <c r="C52" s="5" t="str">
        <f>General_Ledger_Data!C52</f>
        <v>6001-OPEX</v>
      </c>
      <c r="D52" s="5" t="str">
        <f>IF(OR(ISBLANK(General_Ledger_Data!D52), General_Ledger_Data!D52="#N/A"), "VEND-UNKNOWN", General_Ledger_Data!D52)</f>
        <v>VEND-851</v>
      </c>
      <c r="E52" s="5">
        <f>IFERROR(__xludf.DUMMYFUNCTION("IFERROR(VALUE(REGEXREPLACE(TO_TEXT(General_Ledger_Data!E52), ""[^0-9.]"", """")), 0)"),140.0)</f>
        <v>140</v>
      </c>
      <c r="F52" s="5">
        <f>IFERROR(__xludf.DUMMYFUNCTION("IFERROR(VALUE(REGEXREPLACE(TO_TEXT(General_Ledger_Data!F52), ""[^0-9.]"", """")), 0)"),55.0)</f>
        <v>55</v>
      </c>
      <c r="G52" s="5">
        <f t="shared" si="1"/>
        <v>7700</v>
      </c>
      <c r="H52" s="5" t="str">
        <f>IF(ISNUMBER(General_Ledger_Data!G52), "PASSED CLEAN", "REPAIRED")</f>
        <v>PASSED CLEAN</v>
      </c>
    </row>
    <row r="53">
      <c r="A53" s="5" t="str">
        <f>General_Ledger_Data!A53</f>
        <v>TXN-1052</v>
      </c>
      <c r="B53" s="6">
        <f>General_Ledger_Data!B53</f>
        <v>46048</v>
      </c>
      <c r="C53" s="5" t="str">
        <f>General_Ledger_Data!C53</f>
        <v>6002-CAPEX</v>
      </c>
      <c r="D53" s="5" t="str">
        <f>IF(OR(ISBLANK(General_Ledger_Data!D53), General_Ledger_Data!D53="#N/A"), "VEND-UNKNOWN", General_Ledger_Data!D53)</f>
        <v>VEND-852</v>
      </c>
      <c r="E53" s="5">
        <f>IFERROR(__xludf.DUMMYFUNCTION("IFERROR(VALUE(REGEXREPLACE(TO_TEXT(General_Ledger_Data!E53), ""[^0-9.]"", """")), 0)"),75.0)</f>
        <v>75</v>
      </c>
      <c r="F53" s="5">
        <f>IFERROR(__xludf.DUMMYFUNCTION("IFERROR(VALUE(REGEXREPLACE(TO_TEXT(General_Ledger_Data!F53), ""[^0-9.]"", """")), 0)"),420.0)</f>
        <v>420</v>
      </c>
      <c r="G53" s="5">
        <f t="shared" si="1"/>
        <v>31500</v>
      </c>
      <c r="H53" s="5" t="str">
        <f>IF(ISNUMBER(General_Ledger_Data!G53), "PASSED CLEAN", "REPAIRED")</f>
        <v>PASSED CLEAN</v>
      </c>
    </row>
    <row r="54">
      <c r="A54" s="5" t="str">
        <f>General_Ledger_Data!A54</f>
        <v>TXN-1053</v>
      </c>
      <c r="B54" s="6">
        <f>General_Ledger_Data!B54</f>
        <v>46049</v>
      </c>
      <c r="C54" s="5" t="str">
        <f>General_Ledger_Data!C54</f>
        <v>6003-SUPPLY</v>
      </c>
      <c r="D54" s="5" t="str">
        <f>IF(OR(ISBLANK(General_Ledger_Data!D54), General_Ledger_Data!D54="#N/A"), "VEND-UNKNOWN", General_Ledger_Data!D54)</f>
        <v>VEND-853</v>
      </c>
      <c r="E54" s="5">
        <f>IFERROR(__xludf.DUMMYFUNCTION("IFERROR(VALUE(REGEXREPLACE(TO_TEXT(General_Ledger_Data!E54), ""[^0-9.]"", """")), 0)"),190.0)</f>
        <v>190</v>
      </c>
      <c r="F54" s="5">
        <f>IFERROR(__xludf.DUMMYFUNCTION("IFERROR(VALUE(REGEXREPLACE(TO_TEXT(General_Ledger_Data!F54), ""[^0-9.]"", """")), 0)"),30.0)</f>
        <v>30</v>
      </c>
      <c r="G54" s="5">
        <f t="shared" si="1"/>
        <v>5700</v>
      </c>
      <c r="H54" s="5" t="str">
        <f>IF(ISNUMBER(General_Ledger_Data!G54), "PASSED CLEAN", "REPAIRED")</f>
        <v>PASSED CLEAN</v>
      </c>
    </row>
    <row r="55">
      <c r="A55" s="5" t="str">
        <f>General_Ledger_Data!A55</f>
        <v>TXN-1054</v>
      </c>
      <c r="B55" s="6">
        <f>General_Ledger_Data!B55</f>
        <v>46049</v>
      </c>
      <c r="C55" s="5" t="str">
        <f>General_Ledger_Data!C55</f>
        <v>6001-OPEX</v>
      </c>
      <c r="D55" s="5" t="str">
        <f>IF(OR(ISBLANK(General_Ledger_Data!D55), General_Ledger_Data!D55="#N/A"), "VEND-UNKNOWN", General_Ledger_Data!D55)</f>
        <v>VEND-854</v>
      </c>
      <c r="E55" s="5">
        <f>IFERROR(__xludf.DUMMYFUNCTION("IFERROR(VALUE(REGEXREPLACE(TO_TEXT(General_Ledger_Data!E55), ""[^0-9.]"", """")), 0)"),0.0)</f>
        <v>0</v>
      </c>
      <c r="F55" s="5">
        <f>IFERROR(__xludf.DUMMYFUNCTION("IFERROR(VALUE(REGEXREPLACE(TO_TEXT(General_Ledger_Data!F55), ""[^0-9.]"", """")), 0)"),85.0)</f>
        <v>85</v>
      </c>
      <c r="G55" s="5">
        <f t="shared" si="1"/>
        <v>0</v>
      </c>
      <c r="H55" s="5" t="str">
        <f>IF(ISNUMBER(General_Ledger_Data!G55), "PASSED CLEAN", "REPAIRED")</f>
        <v>REPAIRED</v>
      </c>
    </row>
    <row r="56">
      <c r="A56" s="5" t="str">
        <f>General_Ledger_Data!A56</f>
        <v>TXN-1055</v>
      </c>
      <c r="B56" s="6">
        <f>General_Ledger_Data!B56</f>
        <v>46050</v>
      </c>
      <c r="C56" s="5" t="str">
        <f>General_Ledger_Data!C56</f>
        <v>6004-TRAVEL</v>
      </c>
      <c r="D56" s="5" t="str">
        <f>IF(OR(ISBLANK(General_Ledger_Data!D56), General_Ledger_Data!D56="#N/A"), "VEND-UNKNOWN", General_Ledger_Data!D56)</f>
        <v>VEND-855</v>
      </c>
      <c r="E56" s="5">
        <f>IFERROR(__xludf.DUMMYFUNCTION("IFERROR(VALUE(REGEXREPLACE(TO_TEXT(General_Ledger_Data!E56), ""[^0-9.]"", """")), 0)"),55.0)</f>
        <v>55</v>
      </c>
      <c r="F56" s="5">
        <f>IFERROR(__xludf.DUMMYFUNCTION("IFERROR(VALUE(REGEXREPLACE(TO_TEXT(General_Ledger_Data!F56), ""[^0-9.]"", """")), 0)"),290.0)</f>
        <v>290</v>
      </c>
      <c r="G56" s="5">
        <f t="shared" si="1"/>
        <v>15950</v>
      </c>
      <c r="H56" s="5" t="str">
        <f>IF(ISNUMBER(General_Ledger_Data!G56), "PASSED CLEAN", "REPAIRED")</f>
        <v>PASSED CLEAN</v>
      </c>
    </row>
    <row r="57">
      <c r="A57" s="5" t="str">
        <f>General_Ledger_Data!A57</f>
        <v>TXN-1056</v>
      </c>
      <c r="B57" s="6">
        <f>General_Ledger_Data!B57</f>
        <v>46050</v>
      </c>
      <c r="C57" s="5" t="str">
        <f>General_Ledger_Data!C57</f>
        <v>6001-OPEX</v>
      </c>
      <c r="D57" s="5" t="str">
        <f>IF(OR(ISBLANK(General_Ledger_Data!D57), General_Ledger_Data!D57="#N/A"), "VEND-UNKNOWN", General_Ledger_Data!D57)</f>
        <v>VEND-999</v>
      </c>
      <c r="E57" s="5">
        <f>IFERROR(__xludf.DUMMYFUNCTION("IFERROR(VALUE(REGEXREPLACE(TO_TEXT(General_Ledger_Data!E57), ""[^0-9.]"", """")), 0)"),400.0)</f>
        <v>400</v>
      </c>
      <c r="F57" s="5">
        <f>IFERROR(__xludf.DUMMYFUNCTION("IFERROR(VALUE(REGEXREPLACE(TO_TEXT(General_Ledger_Data!F57), ""[^0-9.]"", """")), 0)"),0.0)</f>
        <v>0</v>
      </c>
      <c r="G57" s="5">
        <f t="shared" si="1"/>
        <v>0</v>
      </c>
      <c r="H57" s="5" t="str">
        <f>IF(ISNUMBER(General_Ledger_Data!G57), "PASSED CLEAN", "REPAIRED")</f>
        <v>REPAIRED</v>
      </c>
    </row>
    <row r="58">
      <c r="A58" s="5" t="str">
        <f>General_Ledger_Data!A58</f>
        <v>TXN-1057</v>
      </c>
      <c r="B58" s="6">
        <f>General_Ledger_Data!B58</f>
        <v>46051</v>
      </c>
      <c r="C58" s="5" t="str">
        <f>General_Ledger_Data!C58</f>
        <v>6002-CAPEX</v>
      </c>
      <c r="D58" s="5" t="str">
        <f>IF(OR(ISBLANK(General_Ledger_Data!D58), General_Ledger_Data!D58="#N/A"), "VEND-UNKNOWN", General_Ledger_Data!D58)</f>
        <v>VEND-857</v>
      </c>
      <c r="E58" s="5">
        <f>IFERROR(__xludf.DUMMYFUNCTION("IFERROR(VALUE(REGEXREPLACE(TO_TEXT(General_Ledger_Data!E58), ""[^0-9.]"", """")), 0)"),110.0)</f>
        <v>110</v>
      </c>
      <c r="F58" s="5">
        <f>IFERROR(__xludf.DUMMYFUNCTION("IFERROR(VALUE(REGEXREPLACE(TO_TEXT(General_Ledger_Data!F58), ""[^0-9.]"", """")), 0)"),165.0)</f>
        <v>165</v>
      </c>
      <c r="G58" s="5">
        <f t="shared" si="1"/>
        <v>18150</v>
      </c>
      <c r="H58" s="5" t="str">
        <f>IF(ISNUMBER(General_Ledger_Data!G58), "PASSED CLEAN", "REPAIRED")</f>
        <v>PASSED CLEAN</v>
      </c>
    </row>
    <row r="59">
      <c r="A59" s="5" t="str">
        <f>General_Ledger_Data!A59</f>
        <v>TXN-1058</v>
      </c>
      <c r="B59" s="6">
        <f>General_Ledger_Data!B59</f>
        <v>46051</v>
      </c>
      <c r="C59" s="5" t="str">
        <f>General_Ledger_Data!C59</f>
        <v>6003-SUPPLY</v>
      </c>
      <c r="D59" s="5" t="str">
        <f>IF(OR(ISBLANK(General_Ledger_Data!D59), General_Ledger_Data!D59="#N/A"), "VEND-UNKNOWN", General_Ledger_Data!D59)</f>
        <v>VEND-858</v>
      </c>
      <c r="E59" s="5">
        <f>IFERROR(__xludf.DUMMYFUNCTION("IFERROR(VALUE(REGEXREPLACE(TO_TEXT(General_Ledger_Data!E59), ""[^0-9.]"", """")), 0)"),0.0)</f>
        <v>0</v>
      </c>
      <c r="F59" s="5">
        <f>IFERROR(__xludf.DUMMYFUNCTION("IFERROR(VALUE(REGEXREPLACE(TO_TEXT(General_Ledger_Data!F59), ""[^0-9.]"", """")), 0)"),95.0)</f>
        <v>95</v>
      </c>
      <c r="G59" s="5">
        <f t="shared" si="1"/>
        <v>0</v>
      </c>
      <c r="H59" s="5" t="str">
        <f>IF(ISNUMBER(General_Ledger_Data!G59), "PASSED CLEAN", "REPAIRED")</f>
        <v>REPAIRED</v>
      </c>
    </row>
    <row r="60">
      <c r="A60" s="5" t="str">
        <f>General_Ledger_Data!A60</f>
        <v>TXN-1059</v>
      </c>
      <c r="B60" s="6">
        <f>General_Ledger_Data!B60</f>
        <v>46052</v>
      </c>
      <c r="C60" s="5" t="str">
        <f>General_Ledger_Data!C60</f>
        <v>6001-OPEX</v>
      </c>
      <c r="D60" s="5" t="str">
        <f>IF(OR(ISBLANK(General_Ledger_Data!D60), General_Ledger_Data!D60="#N/A"), "VEND-UNKNOWN", General_Ledger_Data!D60)</f>
        <v>VEND-859</v>
      </c>
      <c r="E60" s="5">
        <f>IFERROR(__xludf.DUMMYFUNCTION("IFERROR(VALUE(REGEXREPLACE(TO_TEXT(General_Ledger_Data!E60), ""[^0-9.]"", """")), 0)"),165.0)</f>
        <v>165</v>
      </c>
      <c r="F60" s="5">
        <f>IFERROR(__xludf.DUMMYFUNCTION("IFERROR(VALUE(REGEXREPLACE(TO_TEXT(General_Ledger_Data!F60), ""[^0-9.]"", """")), 0)"),48.0)</f>
        <v>48</v>
      </c>
      <c r="G60" s="5">
        <f t="shared" si="1"/>
        <v>7920</v>
      </c>
      <c r="H60" s="5" t="str">
        <f>IF(ISNUMBER(General_Ledger_Data!G60), "PASSED CLEAN", "REPAIRED")</f>
        <v>PASSED CLEAN</v>
      </c>
    </row>
    <row r="61">
      <c r="A61" s="5" t="str">
        <f>General_Ledger_Data!A61</f>
        <v>TXN-1060</v>
      </c>
      <c r="B61" s="6">
        <f>General_Ledger_Data!B61</f>
        <v>46052</v>
      </c>
      <c r="C61" s="5" t="str">
        <f>General_Ledger_Data!C61</f>
        <v>6004-TRAVEL</v>
      </c>
      <c r="D61" s="5" t="str">
        <f>IF(OR(ISBLANK(General_Ledger_Data!D61), General_Ledger_Data!D61="#N/A"), "VEND-UNKNOWN", General_Ledger_Data!D61)</f>
        <v>VEND-860</v>
      </c>
      <c r="E61" s="5">
        <f>IFERROR(__xludf.DUMMYFUNCTION("IFERROR(VALUE(REGEXREPLACE(TO_TEXT(General_Ledger_Data!E61), ""[^0-9.]"", """")), 0)"),280.0)</f>
        <v>280</v>
      </c>
      <c r="F61" s="5">
        <f>IFERROR(__xludf.DUMMYFUNCTION("IFERROR(VALUE(REGEXREPLACE(TO_TEXT(General_Ledger_Data!F61), ""[^0-9.]"", """")), 0)"),14.5)</f>
        <v>14.5</v>
      </c>
      <c r="G61" s="5">
        <f t="shared" si="1"/>
        <v>4060</v>
      </c>
      <c r="H61" s="5" t="str">
        <f>IF(ISNUMBER(General_Ledger_Data!G61), "PASSED CLEAN", "REPAIRED")</f>
        <v>PASSED CLEAN</v>
      </c>
    </row>
    <row r="62">
      <c r="A62" s="5" t="str">
        <f>General_Ledger_Data!A62</f>
        <v>TXN-1061</v>
      </c>
      <c r="B62" s="6">
        <f>General_Ledger_Data!B62</f>
        <v>46053</v>
      </c>
      <c r="C62" s="5" t="str">
        <f>General_Ledger_Data!C62</f>
        <v>6001-OPEX</v>
      </c>
      <c r="D62" s="5" t="str">
        <f>IF(OR(ISBLANK(General_Ledger_Data!D62), General_Ledger_Data!D62="#N/A"), "VEND-UNKNOWN", General_Ledger_Data!D62)</f>
        <v>VEND-861</v>
      </c>
      <c r="E62" s="5">
        <f>IFERROR(__xludf.DUMMYFUNCTION("IFERROR(VALUE(REGEXREPLACE(TO_TEXT(General_Ledger_Data!E62), ""[^0-9.]"", """")), 0)"),115.0)</f>
        <v>115</v>
      </c>
      <c r="F62" s="5">
        <f>IFERROR(__xludf.DUMMYFUNCTION("IFERROR(VALUE(REGEXREPLACE(TO_TEXT(General_Ledger_Data!F62), ""[^0-9.]"", """")), 0)"),62.0)</f>
        <v>62</v>
      </c>
      <c r="G62" s="5">
        <f t="shared" si="1"/>
        <v>7130</v>
      </c>
      <c r="H62" s="5" t="str">
        <f>IF(ISNUMBER(General_Ledger_Data!G62), "PASSED CLEAN", "REPAIRED")</f>
        <v>PASSED CLEAN</v>
      </c>
    </row>
    <row r="63">
      <c r="A63" s="5" t="str">
        <f>General_Ledger_Data!A63</f>
        <v>TXN-1062</v>
      </c>
      <c r="B63" s="6">
        <f>General_Ledger_Data!B63</f>
        <v>46053</v>
      </c>
      <c r="C63" s="5" t="str">
        <f>General_Ledger_Data!C63</f>
        <v>6002-CAPEX</v>
      </c>
      <c r="D63" s="5" t="str">
        <f>IF(OR(ISBLANK(General_Ledger_Data!D63), General_Ledger_Data!D63="#N/A"), "VEND-UNKNOWN", General_Ledger_Data!D63)</f>
        <v>VEND-862</v>
      </c>
      <c r="E63" s="5">
        <f>IFERROR(__xludf.DUMMYFUNCTION("IFERROR(VALUE(REGEXREPLACE(TO_TEXT(General_Ledger_Data!E63), ""[^0-9.]"", """")), 0)"),60.0)</f>
        <v>60</v>
      </c>
      <c r="F63" s="5">
        <f>IFERROR(__xludf.DUMMYFUNCTION("IFERROR(VALUE(REGEXREPLACE(TO_TEXT(General_Ledger_Data!F63), ""[^0-9.]"", """")), 0)"),850.0)</f>
        <v>850</v>
      </c>
      <c r="G63" s="5">
        <f t="shared" si="1"/>
        <v>51000</v>
      </c>
      <c r="H63" s="5" t="str">
        <f>IF(ISNUMBER(General_Ledger_Data!G63), "PASSED CLEAN", "REPAIRED")</f>
        <v>PASSED CLEAN</v>
      </c>
    </row>
    <row r="64">
      <c r="A64" s="5" t="str">
        <f>General_Ledger_Data!A64</f>
        <v>TXN-1063</v>
      </c>
      <c r="B64" s="6">
        <f>General_Ledger_Data!B64</f>
        <v>46054</v>
      </c>
      <c r="C64" s="5" t="str">
        <f>General_Ledger_Data!C64</f>
        <v>6003-SUPPLY</v>
      </c>
      <c r="D64" s="5" t="str">
        <f>IF(OR(ISBLANK(General_Ledger_Data!D64), General_Ledger_Data!D64="#N/A"), "VEND-UNKNOWN", General_Ledger_Data!D64)</f>
        <v>VEND-999</v>
      </c>
      <c r="E64" s="5">
        <f>IFERROR(__xludf.DUMMYFUNCTION("IFERROR(VALUE(REGEXREPLACE(TO_TEXT(General_Ledger_Data!E64), ""[^0-9.]"", """")), 0)"),0.0)</f>
        <v>0</v>
      </c>
      <c r="F64" s="5">
        <f>IFERROR(__xludf.DUMMYFUNCTION("IFERROR(VALUE(REGEXREPLACE(TO_TEXT(General_Ledger_Data!F64), ""[^0-9.]"", """")), 0)"),22.0)</f>
        <v>22</v>
      </c>
      <c r="G64" s="5">
        <f t="shared" si="1"/>
        <v>0</v>
      </c>
      <c r="H64" s="5" t="str">
        <f>IF(ISNUMBER(General_Ledger_Data!G64), "PASSED CLEAN", "REPAIRED")</f>
        <v>REPAIRED</v>
      </c>
    </row>
    <row r="65">
      <c r="A65" s="5" t="str">
        <f>General_Ledger_Data!A65</f>
        <v>TXN-1064</v>
      </c>
      <c r="B65" s="6">
        <f>General_Ledger_Data!B65</f>
        <v>46054</v>
      </c>
      <c r="C65" s="5" t="str">
        <f>General_Ledger_Data!C65</f>
        <v>6001-OPEX</v>
      </c>
      <c r="D65" s="5" t="str">
        <f>IF(OR(ISBLANK(General_Ledger_Data!D65), General_Ledger_Data!D65="#N/A"), "VEND-UNKNOWN", General_Ledger_Data!D65)</f>
        <v>VEND-864</v>
      </c>
      <c r="E65" s="5">
        <f>IFERROR(__xludf.DUMMYFUNCTION("IFERROR(VALUE(REGEXREPLACE(TO_TEXT(General_Ledger_Data!E65), ""[^0-9.]"", """")), 0)"),175.0)</f>
        <v>175</v>
      </c>
      <c r="F65" s="5">
        <f>IFERROR(__xludf.DUMMYFUNCTION("IFERROR(VALUE(REGEXREPLACE(TO_TEXT(General_Ledger_Data!F65), ""[^0-9.]"", """")), 0)"),40.0)</f>
        <v>40</v>
      </c>
      <c r="G65" s="5">
        <f t="shared" si="1"/>
        <v>7000</v>
      </c>
      <c r="H65" s="5" t="str">
        <f>IF(ISNUMBER(General_Ledger_Data!G65), "PASSED CLEAN", "REPAIRED")</f>
        <v>PASSED CLEAN</v>
      </c>
    </row>
    <row r="66">
      <c r="A66" s="5" t="str">
        <f>General_Ledger_Data!A66</f>
        <v>TXN-1065</v>
      </c>
      <c r="B66" s="6">
        <f>General_Ledger_Data!B66</f>
        <v>46055</v>
      </c>
      <c r="C66" s="5" t="str">
        <f>General_Ledger_Data!C66</f>
        <v>6004-TRAVEL</v>
      </c>
      <c r="D66" s="5" t="str">
        <f>IF(OR(ISBLANK(General_Ledger_Data!D66), General_Ledger_Data!D66="#N/A"), "VEND-UNKNOWN", General_Ledger_Data!D66)</f>
        <v>VEND-865</v>
      </c>
      <c r="E66" s="5">
        <f>IFERROR(__xludf.DUMMYFUNCTION("IFERROR(VALUE(REGEXREPLACE(TO_TEXT(General_Ledger_Data!E66), ""[^0-9.]"", """")), 0)"),25.0)</f>
        <v>25</v>
      </c>
      <c r="F66" s="5">
        <f>IFERROR(__xludf.DUMMYFUNCTION("IFERROR(VALUE(REGEXREPLACE(TO_TEXT(General_Ledger_Data!F66), ""[^0-9.]"", """")), 0)"),380.0)</f>
        <v>380</v>
      </c>
      <c r="G66" s="5">
        <f t="shared" si="1"/>
        <v>9500</v>
      </c>
      <c r="H66" s="5" t="str">
        <f>IF(ISNUMBER(General_Ledger_Data!G66), "PASSED CLEAN", "REPAIRED")</f>
        <v>PASSED CLEAN</v>
      </c>
    </row>
    <row r="67">
      <c r="A67" s="5" t="str">
        <f>General_Ledger_Data!A67</f>
        <v>TXN-1066</v>
      </c>
      <c r="B67" s="6">
        <f>General_Ledger_Data!B67</f>
        <v>46055</v>
      </c>
      <c r="C67" s="5" t="str">
        <f>General_Ledger_Data!C67</f>
        <v>6001-OPEX</v>
      </c>
      <c r="D67" s="5" t="str">
        <f>IF(OR(ISBLANK(General_Ledger_Data!D67), General_Ledger_Data!D67="#N/A"), "VEND-UNKNOWN", General_Ledger_Data!D67)</f>
        <v>VEND-866</v>
      </c>
      <c r="E67" s="5">
        <f>IFERROR(__xludf.DUMMYFUNCTION("IFERROR(VALUE(REGEXREPLACE(TO_TEXT(General_Ledger_Data!E67), ""[^0-9.]"", """")), 0)"),80.0)</f>
        <v>80</v>
      </c>
      <c r="F67" s="5">
        <f>IFERROR(__xludf.DUMMYFUNCTION("IFERROR(VALUE(REGEXREPLACE(TO_TEXT(General_Ledger_Data!F67), ""[^0-9.]"", """")), 0)"),0.0)</f>
        <v>0</v>
      </c>
      <c r="G67" s="5">
        <f t="shared" si="1"/>
        <v>0</v>
      </c>
      <c r="H67" s="5" t="str">
        <f>IF(ISNUMBER(General_Ledger_Data!G67), "PASSED CLEAN", "REPAIRED")</f>
        <v>REPAIRED</v>
      </c>
    </row>
    <row r="68">
      <c r="A68" s="5" t="str">
        <f>General_Ledger_Data!A68</f>
        <v>TXN-1067</v>
      </c>
      <c r="B68" s="6">
        <f>General_Ledger_Data!B68</f>
        <v>46056</v>
      </c>
      <c r="C68" s="5" t="str">
        <f>General_Ledger_Data!C68</f>
        <v>6002-CAPEX</v>
      </c>
      <c r="D68" s="5" t="str">
        <f>IF(OR(ISBLANK(General_Ledger_Data!D68), General_Ledger_Data!D68="#N/A"), "VEND-UNKNOWN", General_Ledger_Data!D68)</f>
        <v>VEND-867</v>
      </c>
      <c r="E68" s="5">
        <f>IFERROR(__xludf.DUMMYFUNCTION("IFERROR(VALUE(REGEXREPLACE(TO_TEXT(General_Ledger_Data!E68), ""[^0-9.]"", """")), 0)"),290.0)</f>
        <v>290</v>
      </c>
      <c r="F68" s="5">
        <f>IFERROR(__xludf.DUMMYFUNCTION("IFERROR(VALUE(REGEXREPLACE(TO_TEXT(General_Ledger_Data!F68), ""[^0-9.]"", """")), 0)"),24.0)</f>
        <v>24</v>
      </c>
      <c r="G68" s="5">
        <f t="shared" si="1"/>
        <v>6960</v>
      </c>
      <c r="H68" s="5" t="str">
        <f>IF(ISNUMBER(General_Ledger_Data!G68), "PASSED CLEAN", "REPAIRED")</f>
        <v>PASSED CLEAN</v>
      </c>
    </row>
    <row r="69">
      <c r="A69" s="5" t="str">
        <f>General_Ledger_Data!A69</f>
        <v>TXN-1068</v>
      </c>
      <c r="B69" s="6">
        <f>General_Ledger_Data!B69</f>
        <v>46056</v>
      </c>
      <c r="C69" s="5" t="str">
        <f>General_Ledger_Data!C69</f>
        <v>6003-SUPPLY</v>
      </c>
      <c r="D69" s="5" t="str">
        <f>IF(OR(ISBLANK(General_Ledger_Data!D69), General_Ledger_Data!D69="#N/A"), "VEND-UNKNOWN", General_Ledger_Data!D69)</f>
        <v>VEND-868</v>
      </c>
      <c r="E69" s="5">
        <f>IFERROR(__xludf.DUMMYFUNCTION("IFERROR(VALUE(REGEXREPLACE(TO_TEXT(General_Ledger_Data!E69), ""[^0-9.]"", """")), 0)"),0.0)</f>
        <v>0</v>
      </c>
      <c r="F69" s="5">
        <f>IFERROR(__xludf.DUMMYFUNCTION("IFERROR(VALUE(REGEXREPLACE(TO_TEXT(General_Ledger_Data!F69), ""[^0-9.]"", """")), 0)"),60.0)</f>
        <v>60</v>
      </c>
      <c r="G69" s="5">
        <f t="shared" si="1"/>
        <v>0</v>
      </c>
      <c r="H69" s="5" t="str">
        <f>IF(ISNUMBER(General_Ledger_Data!G69), "PASSED CLEAN", "REPAIRED")</f>
        <v>REPAIRED</v>
      </c>
    </row>
    <row r="70">
      <c r="A70" s="5" t="str">
        <f>General_Ledger_Data!A70</f>
        <v>TXN-1069</v>
      </c>
      <c r="B70" s="6">
        <f>General_Ledger_Data!B70</f>
        <v>46057</v>
      </c>
      <c r="C70" s="5" t="str">
        <f>General_Ledger_Data!C70</f>
        <v>6001-OPEX</v>
      </c>
      <c r="D70" s="5" t="str">
        <f>IF(OR(ISBLANK(General_Ledger_Data!D70), General_Ledger_Data!D70="#N/A"), "VEND-UNKNOWN", General_Ledger_Data!D70)</f>
        <v>VEND-999</v>
      </c>
      <c r="E70" s="5">
        <f>IFERROR(__xludf.DUMMYFUNCTION("IFERROR(VALUE(REGEXREPLACE(TO_TEXT(General_Ledger_Data!E70), ""[^0-9.]"", """")), 0)"),100.0)</f>
        <v>100</v>
      </c>
      <c r="F70" s="5">
        <f>IFERROR(__xludf.DUMMYFUNCTION("IFERROR(VALUE(REGEXREPLACE(TO_TEXT(General_Ledger_Data!F70), ""[^0-9.]"", """")), 0)"),0.0)</f>
        <v>0</v>
      </c>
      <c r="G70" s="5">
        <f t="shared" si="1"/>
        <v>0</v>
      </c>
      <c r="H70" s="5" t="str">
        <f>IF(ISNUMBER(General_Ledger_Data!G70), "PASSED CLEAN", "REPAIRED")</f>
        <v>REPAIRED</v>
      </c>
    </row>
    <row r="71">
      <c r="A71" s="5" t="str">
        <f>General_Ledger_Data!A71</f>
        <v>TXN-1070</v>
      </c>
      <c r="B71" s="6">
        <f>General_Ledger_Data!B71</f>
        <v>46057</v>
      </c>
      <c r="C71" s="5" t="str">
        <f>General_Ledger_Data!C71</f>
        <v>6004-TRAVEL</v>
      </c>
      <c r="D71" s="5" t="str">
        <f>IF(OR(ISBLANK(General_Ledger_Data!D71), General_Ledger_Data!D71="#N/A"), "VEND-UNKNOWN", General_Ledger_Data!D71)</f>
        <v>VEND-870</v>
      </c>
      <c r="E71" s="5">
        <f>IFERROR(__xludf.DUMMYFUNCTION("IFERROR(VALUE(REGEXREPLACE(TO_TEXT(General_Ledger_Data!E71), ""[^0-9.]"", """")), 0)"),350.0)</f>
        <v>350</v>
      </c>
      <c r="F71" s="5">
        <f>IFERROR(__xludf.DUMMYFUNCTION("IFERROR(VALUE(REGEXREPLACE(TO_TEXT(General_Ledger_Data!F71), ""[^0-9.]"", """")), 0)"),16.5)</f>
        <v>16.5</v>
      </c>
      <c r="G71" s="5">
        <f t="shared" si="1"/>
        <v>5775</v>
      </c>
      <c r="H71" s="5" t="str">
        <f>IF(ISNUMBER(General_Ledger_Data!G71), "PASSED CLEAN", "REPAIRED")</f>
        <v>PASSED CLEAN</v>
      </c>
    </row>
    <row r="72">
      <c r="A72" s="5" t="str">
        <f>General_Ledger_Data!A72</f>
        <v>TXN-1071</v>
      </c>
      <c r="B72" s="6">
        <f>General_Ledger_Data!B72</f>
        <v>46058</v>
      </c>
      <c r="C72" s="5" t="str">
        <f>General_Ledger_Data!C72</f>
        <v>6001-OPEX</v>
      </c>
      <c r="D72" s="5" t="str">
        <f>IF(OR(ISBLANK(General_Ledger_Data!D72), General_Ledger_Data!D72="#N/A"), "VEND-UNKNOWN", General_Ledger_Data!D72)</f>
        <v>VEND-871</v>
      </c>
      <c r="E72" s="5">
        <f>IFERROR(__xludf.DUMMYFUNCTION("IFERROR(VALUE(REGEXREPLACE(TO_TEXT(General_Ledger_Data!E72), ""[^0-9.]"", """")), 0)"),130.0)</f>
        <v>130</v>
      </c>
      <c r="F72" s="5">
        <f>IFERROR(__xludf.DUMMYFUNCTION("IFERROR(VALUE(REGEXREPLACE(TO_TEXT(General_Ledger_Data!F72), ""[^0-9.]"", """")), 0)"),52.0)</f>
        <v>52</v>
      </c>
      <c r="G72" s="5">
        <f t="shared" si="1"/>
        <v>6760</v>
      </c>
      <c r="H72" s="5" t="str">
        <f>IF(ISNUMBER(General_Ledger_Data!G72), "PASSED CLEAN", "REPAIRED")</f>
        <v>PASSED CLEAN</v>
      </c>
    </row>
    <row r="73">
      <c r="A73" s="5" t="str">
        <f>General_Ledger_Data!A73</f>
        <v>TXN-1072</v>
      </c>
      <c r="B73" s="6">
        <f>General_Ledger_Data!B73</f>
        <v>46058</v>
      </c>
      <c r="C73" s="5" t="str">
        <f>General_Ledger_Data!C73</f>
        <v>6002-CAPEX</v>
      </c>
      <c r="D73" s="5" t="str">
        <f>IF(OR(ISBLANK(General_Ledger_Data!D73), General_Ledger_Data!D73="#N/A"), "VEND-UNKNOWN", General_Ledger_Data!D73)</f>
        <v>VEND-872</v>
      </c>
      <c r="E73" s="5">
        <f>IFERROR(__xludf.DUMMYFUNCTION("IFERROR(VALUE(REGEXREPLACE(TO_TEXT(General_Ledger_Data!E73), ""[^0-9.]"", """")), 0)"),45.0)</f>
        <v>45</v>
      </c>
      <c r="F73" s="5">
        <f>IFERROR(__xludf.DUMMYFUNCTION("IFERROR(VALUE(REGEXREPLACE(TO_TEXT(General_Ledger_Data!F73), ""[^0-9.]"", """")), 0)"),520.0)</f>
        <v>520</v>
      </c>
      <c r="G73" s="5">
        <f t="shared" si="1"/>
        <v>23400</v>
      </c>
      <c r="H73" s="5" t="str">
        <f>IF(ISNUMBER(General_Ledger_Data!G73), "PASSED CLEAN", "REPAIRED")</f>
        <v>PASSED CLEAN</v>
      </c>
    </row>
    <row r="74">
      <c r="A74" s="5" t="str">
        <f>General_Ledger_Data!A74</f>
        <v>TXN-1073</v>
      </c>
      <c r="B74" s="6">
        <f>General_Ledger_Data!B74</f>
        <v>46059</v>
      </c>
      <c r="C74" s="5" t="str">
        <f>General_Ledger_Data!C74</f>
        <v>6003-SUPPLY</v>
      </c>
      <c r="D74" s="5" t="str">
        <f>IF(OR(ISBLANK(General_Ledger_Data!D74), General_Ledger_Data!D74="#N/A"), "VEND-UNKNOWN", General_Ledger_Data!D74)</f>
        <v>VEND-873</v>
      </c>
      <c r="E74" s="5">
        <f>IFERROR(__xludf.DUMMYFUNCTION("IFERROR(VALUE(REGEXREPLACE(TO_TEXT(General_Ledger_Data!E74), ""[^0-9.]"", """")), 0)"),210.0)</f>
        <v>210</v>
      </c>
      <c r="F74" s="5">
        <f>IFERROR(__xludf.DUMMYFUNCTION("IFERROR(VALUE(REGEXREPLACE(TO_TEXT(General_Ledger_Data!F74), ""[^0-9.]"", """")), 0)"),28.0)</f>
        <v>28</v>
      </c>
      <c r="G74" s="5">
        <f t="shared" si="1"/>
        <v>5880</v>
      </c>
      <c r="H74" s="5" t="str">
        <f>IF(ISNUMBER(General_Ledger_Data!G74), "PASSED CLEAN", "REPAIRED")</f>
        <v>PASSED CLEAN</v>
      </c>
    </row>
    <row r="75">
      <c r="A75" s="5" t="str">
        <f>General_Ledger_Data!A75</f>
        <v>TXN-1074</v>
      </c>
      <c r="B75" s="6">
        <f>General_Ledger_Data!B75</f>
        <v>46059</v>
      </c>
      <c r="C75" s="5" t="str">
        <f>General_Ledger_Data!C75</f>
        <v>6001-OPEX</v>
      </c>
      <c r="D75" s="5" t="str">
        <f>IF(OR(ISBLANK(General_Ledger_Data!D75), General_Ledger_Data!D75="#N/A"), "VEND-UNKNOWN", General_Ledger_Data!D75)</f>
        <v>VEND-874</v>
      </c>
      <c r="E75" s="5">
        <f>IFERROR(__xludf.DUMMYFUNCTION("IFERROR(VALUE(REGEXREPLACE(TO_TEXT(General_Ledger_Data!E75), ""[^0-9.]"", """")), 0)"),0.0)</f>
        <v>0</v>
      </c>
      <c r="F75" s="5">
        <f>IFERROR(__xludf.DUMMYFUNCTION("IFERROR(VALUE(REGEXREPLACE(TO_TEXT(General_Ledger_Data!F75), ""[^0-9.]"", """")), 0)"),70.0)</f>
        <v>70</v>
      </c>
      <c r="G75" s="5">
        <f t="shared" si="1"/>
        <v>0</v>
      </c>
      <c r="H75" s="5" t="str">
        <f>IF(ISNUMBER(General_Ledger_Data!G75), "PASSED CLEAN", "REPAIRED")</f>
        <v>REPAIRED</v>
      </c>
    </row>
    <row r="76">
      <c r="A76" s="5" t="str">
        <f>General_Ledger_Data!A76</f>
        <v>TXN-1075</v>
      </c>
      <c r="B76" s="6">
        <f>General_Ledger_Data!B76</f>
        <v>46060</v>
      </c>
      <c r="C76" s="5" t="str">
        <f>General_Ledger_Data!C76</f>
        <v>6004-TRAVEL</v>
      </c>
      <c r="D76" s="5" t="str">
        <f>IF(OR(ISBLANK(General_Ledger_Data!D76), General_Ledger_Data!D76="#N/A"), "VEND-UNKNOWN", General_Ledger_Data!D76)</f>
        <v>VEND-875</v>
      </c>
      <c r="E76" s="5">
        <f>IFERROR(__xludf.DUMMYFUNCTION("IFERROR(VALUE(REGEXREPLACE(TO_TEXT(General_Ledger_Data!E76), ""[^0-9.]"", """")), 0)"),35.0)</f>
        <v>35</v>
      </c>
      <c r="F76" s="5">
        <f>IFERROR(__xludf.DUMMYFUNCTION("IFERROR(VALUE(REGEXREPLACE(TO_TEXT(General_Ledger_Data!F76), ""[^0-9.]"", """")), 0)"),310.0)</f>
        <v>310</v>
      </c>
      <c r="G76" s="5">
        <f t="shared" si="1"/>
        <v>10850</v>
      </c>
      <c r="H76" s="5" t="str">
        <f>IF(ISNUMBER(General_Ledger_Data!G76), "PASSED CLEAN", "REPAIRED")</f>
        <v>PASSED CLEAN</v>
      </c>
    </row>
    <row r="77">
      <c r="A77" s="5" t="str">
        <f>General_Ledger_Data!A77</f>
        <v>TXN-1076</v>
      </c>
      <c r="B77" s="6">
        <f>General_Ledger_Data!B77</f>
        <v>46060</v>
      </c>
      <c r="C77" s="5" t="str">
        <f>General_Ledger_Data!C77</f>
        <v>6001-OPEX</v>
      </c>
      <c r="D77" s="5" t="str">
        <f>IF(OR(ISBLANK(General_Ledger_Data!D77), General_Ledger_Data!D77="#N/A"), "VEND-UNKNOWN", General_Ledger_Data!D77)</f>
        <v>VEND-999</v>
      </c>
      <c r="E77" s="5">
        <f>IFERROR(__xludf.DUMMYFUNCTION("IFERROR(VALUE(REGEXREPLACE(TO_TEXT(General_Ledger_Data!E77), ""[^0-9.]"", """")), 0)"),300.0)</f>
        <v>300</v>
      </c>
      <c r="F77" s="5">
        <f>IFERROR(__xludf.DUMMYFUNCTION("IFERROR(VALUE(REGEXREPLACE(TO_TEXT(General_Ledger_Data!F77), ""[^0-9.]"", """")), 0)"),0.0)</f>
        <v>0</v>
      </c>
      <c r="G77" s="5">
        <f t="shared" si="1"/>
        <v>0</v>
      </c>
      <c r="H77" s="5" t="str">
        <f>IF(ISNUMBER(General_Ledger_Data!G77), "PASSED CLEAN", "REPAIRED")</f>
        <v>REPAIRED</v>
      </c>
    </row>
    <row r="78">
      <c r="A78" s="5" t="str">
        <f>General_Ledger_Data!A78</f>
        <v>TXN-1077</v>
      </c>
      <c r="B78" s="6">
        <f>General_Ledger_Data!B78</f>
        <v>46061</v>
      </c>
      <c r="C78" s="5" t="str">
        <f>General_Ledger_Data!C78</f>
        <v>6002-CAPEX</v>
      </c>
      <c r="D78" s="5" t="str">
        <f>IF(OR(ISBLANK(General_Ledger_Data!D78), General_Ledger_Data!D78="#N/A"), "VEND-UNKNOWN", General_Ledger_Data!D78)</f>
        <v>VEND-877</v>
      </c>
      <c r="E78" s="5">
        <f>IFERROR(__xludf.DUMMYFUNCTION("IFERROR(VALUE(REGEXREPLACE(TO_TEXT(General_Ledger_Data!E78), ""[^0-9.]"", """")), 0)"),95.0)</f>
        <v>95</v>
      </c>
      <c r="F78" s="5">
        <f>IFERROR(__xludf.DUMMYFUNCTION("IFERROR(VALUE(REGEXREPLACE(TO_TEXT(General_Ledger_Data!F78), ""[^0-9.]"", """")), 0)"),195.0)</f>
        <v>195</v>
      </c>
      <c r="G78" s="5">
        <f t="shared" si="1"/>
        <v>18525</v>
      </c>
      <c r="H78" s="5" t="str">
        <f>IF(ISNUMBER(General_Ledger_Data!G78), "PASSED CLEAN", "REPAIRED")</f>
        <v>PASSED CLEAN</v>
      </c>
    </row>
    <row r="79">
      <c r="A79" s="5" t="str">
        <f>General_Ledger_Data!A79</f>
        <v>TXN-1078</v>
      </c>
      <c r="B79" s="6">
        <f>General_Ledger_Data!B79</f>
        <v>46061</v>
      </c>
      <c r="C79" s="5" t="str">
        <f>General_Ledger_Data!C79</f>
        <v>6003-SUPPLY</v>
      </c>
      <c r="D79" s="5" t="str">
        <f>IF(OR(ISBLANK(General_Ledger_Data!D79), General_Ledger_Data!D79="#N/A"), "VEND-UNKNOWN", General_Ledger_Data!D79)</f>
        <v>VEND-878</v>
      </c>
      <c r="E79" s="5">
        <f>IFERROR(__xludf.DUMMYFUNCTION("IFERROR(VALUE(REGEXREPLACE(TO_TEXT(General_Ledger_Data!E79), ""[^0-9.]"", """")), 0)"),0.0)</f>
        <v>0</v>
      </c>
      <c r="F79" s="5">
        <f>IFERROR(__xludf.DUMMYFUNCTION("IFERROR(VALUE(REGEXREPLACE(TO_TEXT(General_Ledger_Data!F79), ""[^0-9.]"", """")), 0)"),110.0)</f>
        <v>110</v>
      </c>
      <c r="G79" s="5">
        <f t="shared" si="1"/>
        <v>0</v>
      </c>
      <c r="H79" s="5" t="str">
        <f>IF(ISNUMBER(General_Ledger_Data!G79), "PASSED CLEAN", "REPAIRED")</f>
        <v>REPAIRED</v>
      </c>
    </row>
    <row r="80">
      <c r="A80" s="5" t="str">
        <f>General_Ledger_Data!A80</f>
        <v>TXN-1079</v>
      </c>
      <c r="B80" s="6">
        <f>General_Ledger_Data!B80</f>
        <v>46062</v>
      </c>
      <c r="C80" s="5" t="str">
        <f>General_Ledger_Data!C80</f>
        <v>6001-OPEX</v>
      </c>
      <c r="D80" s="5" t="str">
        <f>IF(OR(ISBLANK(General_Ledger_Data!D80), General_Ledger_Data!D80="#N/A"), "VEND-UNKNOWN", General_Ledger_Data!D80)</f>
        <v>VEND-879</v>
      </c>
      <c r="E80" s="5">
        <f>IFERROR(__xludf.DUMMYFUNCTION("IFERROR(VALUE(REGEXREPLACE(TO_TEXT(General_Ledger_Data!E80), ""[^0-9.]"", """")), 0)"),145.0)</f>
        <v>145</v>
      </c>
      <c r="F80" s="5">
        <f>IFERROR(__xludf.DUMMYFUNCTION("IFERROR(VALUE(REGEXREPLACE(TO_TEXT(General_Ledger_Data!F80), ""[^0-9.]"", """")), 0)"),58.0)</f>
        <v>58</v>
      </c>
      <c r="G80" s="5">
        <f t="shared" si="1"/>
        <v>8410</v>
      </c>
      <c r="H80" s="5" t="str">
        <f>IF(ISNUMBER(General_Ledger_Data!G80), "PASSED CLEAN", "REPAIRED")</f>
        <v>PASSED CLEAN</v>
      </c>
    </row>
    <row r="81">
      <c r="A81" s="5" t="str">
        <f>General_Ledger_Data!A81</f>
        <v>TXN-1080</v>
      </c>
      <c r="B81" s="6">
        <f>General_Ledger_Data!B81</f>
        <v>46062</v>
      </c>
      <c r="C81" s="5" t="str">
        <f>General_Ledger_Data!C81</f>
        <v>6004-TRAVEL</v>
      </c>
      <c r="D81" s="5" t="str">
        <f>IF(OR(ISBLANK(General_Ledger_Data!D81), General_Ledger_Data!D81="#N/A"), "VEND-UNKNOWN", General_Ledger_Data!D81)</f>
        <v>VEND-880</v>
      </c>
      <c r="E81" s="5">
        <f>IFERROR(__xludf.DUMMYFUNCTION("IFERROR(VALUE(REGEXREPLACE(TO_TEXT(General_Ledger_Data!E81), ""[^0-9.]"", """")), 0)"),220.0)</f>
        <v>220</v>
      </c>
      <c r="F81" s="5">
        <f>IFERROR(__xludf.DUMMYFUNCTION("IFERROR(VALUE(REGEXREPLACE(TO_TEXT(General_Ledger_Data!F81), ""[^0-9.]"", """")), 0)"),21.0)</f>
        <v>21</v>
      </c>
      <c r="G81" s="5">
        <f t="shared" si="1"/>
        <v>4620</v>
      </c>
      <c r="H81" s="5" t="str">
        <f>IF(ISNUMBER(General_Ledger_Data!G81), "PASSED CLEAN", "REPAIRED")</f>
        <v>PASSED CLEAN</v>
      </c>
    </row>
    <row r="82">
      <c r="A82" s="5" t="str">
        <f>General_Ledger_Data!A82</f>
        <v>TXN-1081</v>
      </c>
      <c r="B82" s="6">
        <f>General_Ledger_Data!B82</f>
        <v>46063</v>
      </c>
      <c r="C82" s="5" t="str">
        <f>General_Ledger_Data!C82</f>
        <v>6001-OPEX</v>
      </c>
      <c r="D82" s="5" t="str">
        <f>IF(OR(ISBLANK(General_Ledger_Data!D82), General_Ledger_Data!D82="#N/A"), "VEND-UNKNOWN", General_Ledger_Data!D82)</f>
        <v>VEND-881</v>
      </c>
      <c r="E82" s="5">
        <f>IFERROR(__xludf.DUMMYFUNCTION("IFERROR(VALUE(REGEXREPLACE(TO_TEXT(General_Ledger_Data!E82), ""[^0-9.]"", """")), 0)"),180.0)</f>
        <v>180</v>
      </c>
      <c r="F82" s="5">
        <f>IFERROR(__xludf.DUMMYFUNCTION("IFERROR(VALUE(REGEXREPLACE(TO_TEXT(General_Ledger_Data!F82), ""[^0-9.]"", """")), 0)"),38.0)</f>
        <v>38</v>
      </c>
      <c r="G82" s="5">
        <f t="shared" si="1"/>
        <v>6840</v>
      </c>
      <c r="H82" s="5" t="str">
        <f>IF(ISNUMBER(General_Ledger_Data!G82), "PASSED CLEAN", "REPAIRED")</f>
        <v>PASSED CLEAN</v>
      </c>
    </row>
    <row r="83">
      <c r="A83" s="5" t="str">
        <f>General_Ledger_Data!A83</f>
        <v>TXN-1082</v>
      </c>
      <c r="B83" s="6">
        <f>General_Ledger_Data!B83</f>
        <v>46063</v>
      </c>
      <c r="C83" s="5" t="str">
        <f>General_Ledger_Data!C83</f>
        <v>6002-CAPEX</v>
      </c>
      <c r="D83" s="5" t="str">
        <f>IF(OR(ISBLANK(General_Ledger_Data!D83), General_Ledger_Data!D83="#N/A"), "VEND-UNKNOWN", General_Ledger_Data!D83)</f>
        <v>VEND-882</v>
      </c>
      <c r="E83" s="5">
        <f>IFERROR(__xludf.DUMMYFUNCTION("IFERROR(VALUE(REGEXREPLACE(TO_TEXT(General_Ledger_Data!E83), ""[^0-9.]"", """")), 0)"),85.0)</f>
        <v>85</v>
      </c>
      <c r="F83" s="5">
        <f>IFERROR(__xludf.DUMMYFUNCTION("IFERROR(VALUE(REGEXREPLACE(TO_TEXT(General_Ledger_Data!F83), ""[^0-9.]"", """")), 0)"),340.0)</f>
        <v>340</v>
      </c>
      <c r="G83" s="5">
        <f t="shared" si="1"/>
        <v>28900</v>
      </c>
      <c r="H83" s="5" t="str">
        <f>IF(ISNUMBER(General_Ledger_Data!G83), "PASSED CLEAN", "REPAIRED")</f>
        <v>PASSED CLEAN</v>
      </c>
    </row>
    <row r="84">
      <c r="A84" s="5" t="str">
        <f>General_Ledger_Data!A84</f>
        <v>TXN-1083</v>
      </c>
      <c r="B84" s="6">
        <f>General_Ledger_Data!B84</f>
        <v>46064</v>
      </c>
      <c r="C84" s="5" t="str">
        <f>General_Ledger_Data!C84</f>
        <v>6003-SUPPLY</v>
      </c>
      <c r="D84" s="5" t="str">
        <f>IF(OR(ISBLANK(General_Ledger_Data!D84), General_Ledger_Data!D84="#N/A"), "VEND-UNKNOWN", General_Ledger_Data!D84)</f>
        <v>VEND-999</v>
      </c>
      <c r="E84" s="5">
        <f>IFERROR(__xludf.DUMMYFUNCTION("IFERROR(VALUE(REGEXREPLACE(TO_TEXT(General_Ledger_Data!E84), ""[^0-9.]"", """")), 0)"),0.0)</f>
        <v>0</v>
      </c>
      <c r="F84" s="5">
        <f>IFERROR(__xludf.DUMMYFUNCTION("IFERROR(VALUE(REGEXREPLACE(TO_TEXT(General_Ledger_Data!F84), ""[^0-9.]"", """")), 0)"),40.0)</f>
        <v>40</v>
      </c>
      <c r="G84" s="5">
        <f t="shared" si="1"/>
        <v>0</v>
      </c>
      <c r="H84" s="5" t="str">
        <f>IF(ISNUMBER(General_Ledger_Data!G84), "PASSED CLEAN", "REPAIRED")</f>
        <v>REPAIRED</v>
      </c>
    </row>
    <row r="85">
      <c r="A85" s="5" t="str">
        <f>General_Ledger_Data!A85</f>
        <v>TXN-1084</v>
      </c>
      <c r="B85" s="6">
        <f>General_Ledger_Data!B85</f>
        <v>46064</v>
      </c>
      <c r="C85" s="5" t="str">
        <f>General_Ledger_Data!C85</f>
        <v>6001-OPEX</v>
      </c>
      <c r="D85" s="5" t="str">
        <f>IF(OR(ISBLANK(General_Ledger_Data!D85), General_Ledger_Data!D85="#N/A"), "VEND-UNKNOWN", General_Ledger_Data!D85)</f>
        <v>VEND-884</v>
      </c>
      <c r="E85" s="5">
        <f>IFERROR(__xludf.DUMMYFUNCTION("IFERROR(VALUE(REGEXREPLACE(TO_TEXT(General_Ledger_Data!E85), ""[^0-9.]"", """")), 0)"),250.0)</f>
        <v>250</v>
      </c>
      <c r="F85" s="5">
        <f>IFERROR(__xludf.DUMMYFUNCTION("IFERROR(VALUE(REGEXREPLACE(TO_TEXT(General_Ledger_Data!F85), ""[^0-9.]"", """")), 0)"),45.0)</f>
        <v>45</v>
      </c>
      <c r="G85" s="5">
        <f t="shared" si="1"/>
        <v>11250</v>
      </c>
      <c r="H85" s="5" t="str">
        <f>IF(ISNUMBER(General_Ledger_Data!G85), "PASSED CLEAN", "REPAIRED")</f>
        <v>PASSED CLEAN</v>
      </c>
    </row>
    <row r="86">
      <c r="A86" s="5" t="str">
        <f>General_Ledger_Data!A86</f>
        <v>TXN-1085</v>
      </c>
      <c r="B86" s="6">
        <f>General_Ledger_Data!B86</f>
        <v>46065</v>
      </c>
      <c r="C86" s="5" t="str">
        <f>General_Ledger_Data!C86</f>
        <v>6004-TRAVEL</v>
      </c>
      <c r="D86" s="5" t="str">
        <f>IF(OR(ISBLANK(General_Ledger_Data!D86), General_Ledger_Data!D86="#N/A"), "VEND-UNKNOWN", General_Ledger_Data!D86)</f>
        <v>VEND-885</v>
      </c>
      <c r="E86" s="5">
        <f>IFERROR(__xludf.DUMMYFUNCTION("IFERROR(VALUE(REGEXREPLACE(TO_TEXT(General_Ledger_Data!E86), ""[^0-9.]"", """")), 0)"),40.0)</f>
        <v>40</v>
      </c>
      <c r="F86" s="5">
        <f>IFERROR(__xludf.DUMMYFUNCTION("IFERROR(VALUE(REGEXREPLACE(TO_TEXT(General_Ledger_Data!F86), ""[^0-9.]"", """")), 0)"),275.0)</f>
        <v>275</v>
      </c>
      <c r="G86" s="5">
        <f t="shared" si="1"/>
        <v>11000</v>
      </c>
      <c r="H86" s="5" t="str">
        <f>IF(ISNUMBER(General_Ledger_Data!G86), "PASSED CLEAN", "REPAIRED")</f>
        <v>PASSED CLEAN</v>
      </c>
    </row>
    <row r="87">
      <c r="A87" s="5" t="str">
        <f>General_Ledger_Data!A87</f>
        <v>TXN-1086</v>
      </c>
      <c r="B87" s="6">
        <f>General_Ledger_Data!B87</f>
        <v>46065</v>
      </c>
      <c r="C87" s="5" t="str">
        <f>General_Ledger_Data!C87</f>
        <v>6001-OPEX</v>
      </c>
      <c r="D87" s="5" t="str">
        <f>IF(OR(ISBLANK(General_Ledger_Data!D87), General_Ledger_Data!D87="#N/A"), "VEND-UNKNOWN", General_Ledger_Data!D87)</f>
        <v>VEND-886</v>
      </c>
      <c r="E87" s="5">
        <f>IFERROR(__xludf.DUMMYFUNCTION("IFERROR(VALUE(REGEXREPLACE(TO_TEXT(General_Ledger_Data!E87), ""[^0-9.]"", """")), 0)"),70.0)</f>
        <v>70</v>
      </c>
      <c r="F87" s="5">
        <f>IFERROR(__xludf.DUMMYFUNCTION("IFERROR(VALUE(REGEXREPLACE(TO_TEXT(General_Ledger_Data!F87), ""[^0-9.]"", """")), 0)"),0.0)</f>
        <v>0</v>
      </c>
      <c r="G87" s="5">
        <f t="shared" si="1"/>
        <v>0</v>
      </c>
      <c r="H87" s="5" t="str">
        <f>IF(ISNUMBER(General_Ledger_Data!G87), "PASSED CLEAN", "REPAIRED")</f>
        <v>REPAIRED</v>
      </c>
    </row>
    <row r="88">
      <c r="A88" s="5" t="str">
        <f>General_Ledger_Data!A88</f>
        <v>TXN-1087</v>
      </c>
      <c r="B88" s="6">
        <f>General_Ledger_Data!B88</f>
        <v>46066</v>
      </c>
      <c r="C88" s="5" t="str">
        <f>General_Ledger_Data!C88</f>
        <v>6002-CAPEX</v>
      </c>
      <c r="D88" s="5" t="str">
        <f>IF(OR(ISBLANK(General_Ledger_Data!D88), General_Ledger_Data!D88="#N/A"), "VEND-UNKNOWN", General_Ledger_Data!D88)</f>
        <v>VEND-887</v>
      </c>
      <c r="E88" s="5">
        <f>IFERROR(__xludf.DUMMYFUNCTION("IFERROR(VALUE(REGEXREPLACE(TO_TEXT(General_Ledger_Data!E88), ""[^0-9.]"", """")), 0)"),310.0)</f>
        <v>310</v>
      </c>
      <c r="F88" s="5">
        <f>IFERROR(__xludf.DUMMYFUNCTION("IFERROR(VALUE(REGEXREPLACE(TO_TEXT(General_Ledger_Data!F88), ""[^0-9.]"", """")), 0)"),20.0)</f>
        <v>20</v>
      </c>
      <c r="G88" s="5">
        <f t="shared" si="1"/>
        <v>6200</v>
      </c>
      <c r="H88" s="5" t="str">
        <f>IF(ISNUMBER(General_Ledger_Data!G88), "PASSED CLEAN", "REPAIRED")</f>
        <v>PASSED CLEAN</v>
      </c>
    </row>
    <row r="89">
      <c r="A89" s="5" t="str">
        <f>General_Ledger_Data!A89</f>
        <v>TXN-1088</v>
      </c>
      <c r="B89" s="6">
        <f>General_Ledger_Data!B89</f>
        <v>46066</v>
      </c>
      <c r="C89" s="5" t="str">
        <f>General_Ledger_Data!C89</f>
        <v>6003-SUPPLY</v>
      </c>
      <c r="D89" s="5" t="str">
        <f>IF(OR(ISBLANK(General_Ledger_Data!D89), General_Ledger_Data!D89="#N/A"), "VEND-UNKNOWN", General_Ledger_Data!D89)</f>
        <v>VEND-888</v>
      </c>
      <c r="E89" s="5">
        <f>IFERROR(__xludf.DUMMYFUNCTION("IFERROR(VALUE(REGEXREPLACE(TO_TEXT(General_Ledger_Data!E89), ""[^0-9.]"", """")), 0)"),0.0)</f>
        <v>0</v>
      </c>
      <c r="F89" s="5">
        <f>IFERROR(__xludf.DUMMYFUNCTION("IFERROR(VALUE(REGEXREPLACE(TO_TEXT(General_Ledger_Data!F89), ""[^0-9.]"", """")), 0)"),75.0)</f>
        <v>75</v>
      </c>
      <c r="G89" s="5">
        <f t="shared" si="1"/>
        <v>0</v>
      </c>
      <c r="H89" s="5" t="str">
        <f>IF(ISNUMBER(General_Ledger_Data!G89), "PASSED CLEAN", "REPAIRED")</f>
        <v>REPAIRED</v>
      </c>
    </row>
    <row r="90">
      <c r="A90" s="5" t="str">
        <f>General_Ledger_Data!A90</f>
        <v>TXN-1089</v>
      </c>
      <c r="B90" s="6">
        <f>General_Ledger_Data!B90</f>
        <v>46067</v>
      </c>
      <c r="C90" s="5" t="str">
        <f>General_Ledger_Data!C90</f>
        <v>6001-OPEX</v>
      </c>
      <c r="D90" s="5" t="str">
        <f>IF(OR(ISBLANK(General_Ledger_Data!D90), General_Ledger_Data!D90="#N/A"), "VEND-UNKNOWN", General_Ledger_Data!D90)</f>
        <v>VEND-890</v>
      </c>
      <c r="E90" s="5">
        <f>IFERROR(__xludf.DUMMYFUNCTION("IFERROR(VALUE(REGEXREPLACE(TO_TEXT(General_Ledger_Data!E90), ""[^0-9.]"", """")), 0)"),90.0)</f>
        <v>90</v>
      </c>
      <c r="F90" s="5">
        <f>IFERROR(__xludf.DUMMYFUNCTION("IFERROR(VALUE(REGEXREPLACE(TO_TEXT(General_Ledger_Data!F90), ""[^0-9.]"", """")), 0)"),110.0)</f>
        <v>110</v>
      </c>
      <c r="G90" s="5">
        <f t="shared" si="1"/>
        <v>9900</v>
      </c>
      <c r="H90" s="5" t="str">
        <f>IF(ISNUMBER(General_Ledger_Data!G90), "PASSED CLEAN", "REPAIRED")</f>
        <v>PASSED CLEAN</v>
      </c>
    </row>
    <row r="91">
      <c r="A91" s="5" t="str">
        <f>General_Ledger_Data!A91</f>
        <v>TXN-1090</v>
      </c>
      <c r="B91" s="6">
        <f>General_Ledger_Data!B91</f>
        <v>46067</v>
      </c>
      <c r="C91" s="5" t="str">
        <f>General_Ledger_Data!C91</f>
        <v>6004-TRAVEL</v>
      </c>
      <c r="D91" s="5" t="str">
        <f>IF(OR(ISBLANK(General_Ledger_Data!D91), General_Ledger_Data!D91="#N/A"), "VEND-UNKNOWN", General_Ledger_Data!D91)</f>
        <v>VEND-891</v>
      </c>
      <c r="E91" s="5">
        <f>IFERROR(__xludf.DUMMYFUNCTION("IFERROR(VALUE(REGEXREPLACE(TO_TEXT(General_Ledger_Data!E91), ""[^0-9.]"", """")), 0)"),410.0)</f>
        <v>410</v>
      </c>
      <c r="F91" s="5">
        <f>IFERROR(__xludf.DUMMYFUNCTION("IFERROR(VALUE(REGEXREPLACE(TO_TEXT(General_Ledger_Data!F91), ""[^0-9.]"", """")), 0)"),10.0)</f>
        <v>10</v>
      </c>
      <c r="G91" s="5">
        <f t="shared" si="1"/>
        <v>4100</v>
      </c>
      <c r="H91" s="5" t="str">
        <f>IF(ISNUMBER(General_Ledger_Data!G91), "PASSED CLEAN", "REPAIRED")</f>
        <v>PASSED CLEAN</v>
      </c>
    </row>
    <row r="92">
      <c r="A92" s="5" t="str">
        <f>General_Ledger_Data!A92</f>
        <v>TXN-1091</v>
      </c>
      <c r="B92" s="6">
        <f>General_Ledger_Data!B92</f>
        <v>46068</v>
      </c>
      <c r="C92" s="5" t="str">
        <f>General_Ledger_Data!C92</f>
        <v>6001-OPEX</v>
      </c>
      <c r="D92" s="5" t="str">
        <f>IF(OR(ISBLANK(General_Ledger_Data!D92), General_Ledger_Data!D92="#N/A"), "VEND-UNKNOWN", General_Ledger_Data!D92)</f>
        <v>VEND-892</v>
      </c>
      <c r="E92" s="5">
        <f>IFERROR(__xludf.DUMMYFUNCTION("IFERROR(VALUE(REGEXREPLACE(TO_TEXT(General_Ledger_Data!E92), ""[^0-9.]"", """")), 0)"),105.0)</f>
        <v>105</v>
      </c>
      <c r="F92" s="5">
        <f>IFERROR(__xludf.DUMMYFUNCTION("IFERROR(VALUE(REGEXREPLACE(TO_TEXT(General_Ledger_Data!F92), ""[^0-9.]"", """")), 0)"),68.0)</f>
        <v>68</v>
      </c>
      <c r="G92" s="5">
        <f t="shared" si="1"/>
        <v>7140</v>
      </c>
      <c r="H92" s="5" t="str">
        <f>IF(ISNUMBER(General_Ledger_Data!G92), "PASSED CLEAN", "REPAIRED")</f>
        <v>PASSED CLEAN</v>
      </c>
    </row>
    <row r="93">
      <c r="A93" s="5" t="str">
        <f>General_Ledger_Data!A93</f>
        <v>TXN-1092</v>
      </c>
      <c r="B93" s="6">
        <f>General_Ledger_Data!B93</f>
        <v>46068</v>
      </c>
      <c r="C93" s="5" t="str">
        <f>General_Ledger_Data!C93</f>
        <v>6002-CAPEX</v>
      </c>
      <c r="D93" s="5" t="str">
        <f>IF(OR(ISBLANK(General_Ledger_Data!D93), General_Ledger_Data!D93="#N/A"), "VEND-UNKNOWN", General_Ledger_Data!D93)</f>
        <v>VEND-893</v>
      </c>
      <c r="E93" s="5">
        <f>IFERROR(__xludf.DUMMYFUNCTION("IFERROR(VALUE(REGEXREPLACE(TO_TEXT(General_Ledger_Data!E93), ""[^0-9.]"", """")), 0)"),55.0)</f>
        <v>55</v>
      </c>
      <c r="F93" s="5">
        <f>IFERROR(__xludf.DUMMYFUNCTION("IFERROR(VALUE(REGEXREPLACE(TO_TEXT(General_Ledger_Data!F93), ""[^0-9.]"", """")), 0)"),680.0)</f>
        <v>680</v>
      </c>
      <c r="G93" s="5">
        <f t="shared" si="1"/>
        <v>37400</v>
      </c>
      <c r="H93" s="5" t="str">
        <f>IF(ISNUMBER(General_Ledger_Data!G93), "PASSED CLEAN", "REPAIRED")</f>
        <v>PASSED CLEAN</v>
      </c>
    </row>
    <row r="94">
      <c r="A94" s="5" t="str">
        <f>General_Ledger_Data!A94</f>
        <v>TXN-1093</v>
      </c>
      <c r="B94" s="6">
        <f>General_Ledger_Data!B94</f>
        <v>46069</v>
      </c>
      <c r="C94" s="5" t="str">
        <f>General_Ledger_Data!C94</f>
        <v>6003-SUPPLY</v>
      </c>
      <c r="D94" s="5" t="str">
        <f>IF(OR(ISBLANK(General_Ledger_Data!D94), General_Ledger_Data!D94="#N/A"), "VEND-UNKNOWN", General_Ledger_Data!D94)</f>
        <v>VEND-894</v>
      </c>
      <c r="E94" s="5">
        <f>IFERROR(__xludf.DUMMYFUNCTION("IFERROR(VALUE(REGEXREPLACE(TO_TEXT(General_Ledger_Data!E94), ""[^0-9.]"", """")), 0)"),175.0)</f>
        <v>175</v>
      </c>
      <c r="F94" s="5">
        <f>IFERROR(__xludf.DUMMYFUNCTION("IFERROR(VALUE(REGEXREPLACE(TO_TEXT(General_Ledger_Data!F94), ""[^0-9.]"", """")), 0)"),32.0)</f>
        <v>32</v>
      </c>
      <c r="G94" s="5">
        <f t="shared" si="1"/>
        <v>5600</v>
      </c>
      <c r="H94" s="5" t="str">
        <f>IF(ISNUMBER(General_Ledger_Data!G94), "PASSED CLEAN", "REPAIRED")</f>
        <v>PASSED CLEAN</v>
      </c>
    </row>
    <row r="95">
      <c r="A95" s="5" t="str">
        <f>General_Ledger_Data!A95</f>
        <v>TXN-1094</v>
      </c>
      <c r="B95" s="6">
        <f>General_Ledger_Data!B95</f>
        <v>46069</v>
      </c>
      <c r="C95" s="5" t="str">
        <f>General_Ledger_Data!C95</f>
        <v>6001-OPEX</v>
      </c>
      <c r="D95" s="5" t="str">
        <f>IF(OR(ISBLANK(General_Ledger_Data!D95), General_Ledger_Data!D95="#N/A"), "VEND-UNKNOWN", General_Ledger_Data!D95)</f>
        <v>VEND-895</v>
      </c>
      <c r="E95" s="5">
        <f>IFERROR(__xludf.DUMMYFUNCTION("IFERROR(VALUE(REGEXREPLACE(TO_TEXT(General_Ledger_Data!E95), ""[^0-9.]"", """")), 0)"),0.0)</f>
        <v>0</v>
      </c>
      <c r="F95" s="5">
        <f>IFERROR(__xludf.DUMMYFUNCTION("IFERROR(VALUE(REGEXREPLACE(TO_TEXT(General_Ledger_Data!F95), ""[^0-9.]"", """")), 0)"),50.0)</f>
        <v>50</v>
      </c>
      <c r="G95" s="5">
        <f t="shared" si="1"/>
        <v>0</v>
      </c>
      <c r="H95" s="5" t="str">
        <f>IF(ISNUMBER(General_Ledger_Data!G95), "PASSED CLEAN", "REPAIRED")</f>
        <v>REPAIRED</v>
      </c>
    </row>
    <row r="96">
      <c r="A96" s="5" t="str">
        <f>General_Ledger_Data!A96</f>
        <v>TXN-1095</v>
      </c>
      <c r="B96" s="6">
        <f>General_Ledger_Data!B96</f>
        <v>46070</v>
      </c>
      <c r="C96" s="5" t="str">
        <f>General_Ledger_Data!C96</f>
        <v>6004-TRAVEL</v>
      </c>
      <c r="D96" s="5" t="str">
        <f>IF(OR(ISBLANK(General_Ledger_Data!D96), General_Ledger_Data!D96="#N/A"), "VEND-UNKNOWN", General_Ledger_Data!D96)</f>
        <v>VEND-896</v>
      </c>
      <c r="E96" s="5">
        <f>IFERROR(__xludf.DUMMYFUNCTION("IFERROR(VALUE(REGEXREPLACE(TO_TEXT(General_Ledger_Data!E96), ""[^0-9.]"", """")), 0)"),20.0)</f>
        <v>20</v>
      </c>
      <c r="F96" s="5">
        <f>IFERROR(__xludf.DUMMYFUNCTION("IFERROR(VALUE(REGEXREPLACE(TO_TEXT(General_Ledger_Data!F96), ""[^0-9.]"", """")), 0)"),490.0)</f>
        <v>490</v>
      </c>
      <c r="G96" s="5">
        <f t="shared" si="1"/>
        <v>9800</v>
      </c>
      <c r="H96" s="5" t="str">
        <f>IF(ISNUMBER(General_Ledger_Data!G96), "PASSED CLEAN", "REPAIRED")</f>
        <v>PASSED CLEAN</v>
      </c>
    </row>
    <row r="97">
      <c r="A97" s="5" t="str">
        <f>General_Ledger_Data!A97</f>
        <v>TXN-1096</v>
      </c>
      <c r="B97" s="6">
        <f>General_Ledger_Data!B97</f>
        <v>46070</v>
      </c>
      <c r="C97" s="5" t="str">
        <f>General_Ledger_Data!C97</f>
        <v>6001-OPEX</v>
      </c>
      <c r="D97" s="5" t="str">
        <f>IF(OR(ISBLANK(General_Ledger_Data!D97), General_Ledger_Data!D97="#N/A"), "VEND-UNKNOWN", General_Ledger_Data!D97)</f>
        <v>VEND-999</v>
      </c>
      <c r="E97" s="5">
        <f>IFERROR(__xludf.DUMMYFUNCTION("IFERROR(VALUE(REGEXREPLACE(TO_TEXT(General_Ledger_Data!E97), ""[^0-9.]"", """")), 0)"),250.0)</f>
        <v>250</v>
      </c>
      <c r="F97" s="5">
        <f>IFERROR(__xludf.DUMMYFUNCTION("IFERROR(VALUE(REGEXREPLACE(TO_TEXT(General_Ledger_Data!F97), ""[^0-9.]"", """")), 0)"),0.0)</f>
        <v>0</v>
      </c>
      <c r="G97" s="5">
        <f t="shared" si="1"/>
        <v>0</v>
      </c>
      <c r="H97" s="5" t="str">
        <f>IF(ISNUMBER(General_Ledger_Data!G97), "PASSED CLEAN", "REPAIRED")</f>
        <v>REPAIRED</v>
      </c>
    </row>
    <row r="98">
      <c r="A98" s="5" t="str">
        <f>General_Ledger_Data!A98</f>
        <v>TXN-1097</v>
      </c>
      <c r="B98" s="6">
        <f>General_Ledger_Data!B98</f>
        <v>46071</v>
      </c>
      <c r="C98" s="5" t="str">
        <f>General_Ledger_Data!C98</f>
        <v>6002-CAPEX</v>
      </c>
      <c r="D98" s="5" t="str">
        <f>IF(OR(ISBLANK(General_Ledger_Data!D98), General_Ledger_Data!D98="#N/A"), "VEND-UNKNOWN", General_Ledger_Data!D98)</f>
        <v>VEND-898</v>
      </c>
      <c r="E98" s="5">
        <f>IFERROR(__xludf.DUMMYFUNCTION("IFERROR(VALUE(REGEXREPLACE(TO_TEXT(General_Ledger_Data!E98), ""[^0-9.]"", """")), 0)"),115.0)</f>
        <v>115</v>
      </c>
      <c r="F98" s="5">
        <f>IFERROR(__xludf.DUMMYFUNCTION("IFERROR(VALUE(REGEXREPLACE(TO_TEXT(General_Ledger_Data!F98), ""[^0-9.]"", """")), 0)"),150.0)</f>
        <v>150</v>
      </c>
      <c r="G98" s="5">
        <f t="shared" si="1"/>
        <v>17250</v>
      </c>
      <c r="H98" s="5" t="str">
        <f>IF(ISNUMBER(General_Ledger_Data!G98), "PASSED CLEAN", "REPAIRED")</f>
        <v>PASSED CLEAN</v>
      </c>
    </row>
    <row r="99">
      <c r="A99" s="5" t="str">
        <f>General_Ledger_Data!A99</f>
        <v>TXN-1098</v>
      </c>
      <c r="B99" s="6">
        <f>General_Ledger_Data!B99</f>
        <v>46071</v>
      </c>
      <c r="C99" s="5" t="str">
        <f>General_Ledger_Data!C99</f>
        <v>6003-SUPPLY</v>
      </c>
      <c r="D99" s="5" t="str">
        <f>IF(OR(ISBLANK(General_Ledger_Data!D99), General_Ledger_Data!D99="#N/A"), "VEND-UNKNOWN", General_Ledger_Data!D99)</f>
        <v>VEND-899</v>
      </c>
      <c r="E99" s="5">
        <f>IFERROR(__xludf.DUMMYFUNCTION("IFERROR(VALUE(REGEXREPLACE(TO_TEXT(General_Ledger_Data!E99), ""[^0-9.]"", """")), 0)"),0.0)</f>
        <v>0</v>
      </c>
      <c r="F99" s="5">
        <f>IFERROR(__xludf.DUMMYFUNCTION("IFERROR(VALUE(REGEXREPLACE(TO_TEXT(General_Ledger_Data!F99), ""[^0-9.]"", """")), 0)"),140.0)</f>
        <v>140</v>
      </c>
      <c r="G99" s="5">
        <f t="shared" si="1"/>
        <v>0</v>
      </c>
      <c r="H99" s="5" t="str">
        <f>IF(ISNUMBER(General_Ledger_Data!G99), "PASSED CLEAN", "REPAIRED")</f>
        <v>REPAIRED</v>
      </c>
    </row>
    <row r="100">
      <c r="A100" s="5" t="str">
        <f>General_Ledger_Data!A100</f>
        <v>TXN-1099</v>
      </c>
      <c r="B100" s="6">
        <f>General_Ledger_Data!B100</f>
        <v>46072</v>
      </c>
      <c r="C100" s="5" t="str">
        <f>General_Ledger_Data!C100</f>
        <v>6001-OPEX</v>
      </c>
      <c r="D100" s="5" t="str">
        <f>IF(OR(ISBLANK(General_Ledger_Data!D100), General_Ledger_Data!D100="#N/A"), "VEND-UNKNOWN", General_Ledger_Data!D100)</f>
        <v>VEND-900</v>
      </c>
      <c r="E100" s="5">
        <f>IFERROR(__xludf.DUMMYFUNCTION("IFERROR(VALUE(REGEXREPLACE(TO_TEXT(General_Ledger_Data!E100), ""[^0-9.]"", """")), 0)"),140.0)</f>
        <v>140</v>
      </c>
      <c r="F100" s="5">
        <f>IFERROR(__xludf.DUMMYFUNCTION("IFERROR(VALUE(REGEXREPLACE(TO_TEXT(General_Ledger_Data!F100), ""[^0-9.]"", """")), 0)"),55.0)</f>
        <v>55</v>
      </c>
      <c r="G100" s="5">
        <f t="shared" si="1"/>
        <v>7700</v>
      </c>
      <c r="H100" s="5" t="str">
        <f>IF(ISNUMBER(General_Ledger_Data!G100), "PASSED CLEAN", "REPAIRED")</f>
        <v>PASSED CLEAN</v>
      </c>
    </row>
    <row r="101">
      <c r="A101" s="5" t="str">
        <f>General_Ledger_Data!A101</f>
        <v>TXN-1100</v>
      </c>
      <c r="B101" s="6">
        <f>General_Ledger_Data!B101</f>
        <v>46072</v>
      </c>
      <c r="C101" s="5" t="str">
        <f>General_Ledger_Data!C101</f>
        <v>6004-TRAVEL</v>
      </c>
      <c r="D101" s="5" t="str">
        <f>IF(OR(ISBLANK(General_Ledger_Data!D101), General_Ledger_Data!D101="#N/A"), "VEND-UNKNOWN", General_Ledger_Data!D101)</f>
        <v>VEND-901</v>
      </c>
      <c r="E101" s="5">
        <f>IFERROR(__xludf.DUMMYFUNCTION("IFERROR(VALUE(REGEXREPLACE(TO_TEXT(General_Ledger_Data!E101), ""[^0-9.]"", """")), 0)"),300.0)</f>
        <v>300</v>
      </c>
      <c r="F101" s="5">
        <f>IFERROR(__xludf.DUMMYFUNCTION("IFERROR(VALUE(REGEXREPLACE(TO_TEXT(General_Ledger_Data!F101), ""[^0-9.]"", """")), 0)"),15.0)</f>
        <v>15</v>
      </c>
      <c r="G101" s="5">
        <f t="shared" si="1"/>
        <v>4500</v>
      </c>
      <c r="H101" s="5" t="str">
        <f>IF(ISNUMBER(General_Ledger_Data!G101), "PASSED CLEAN", "REPAIRED")</f>
        <v>PASSED CLEAN</v>
      </c>
    </row>
    <row r="102">
      <c r="A102" s="5"/>
      <c r="B102" s="5"/>
      <c r="C102" s="5"/>
      <c r="D102" s="5"/>
      <c r="E102" s="5"/>
      <c r="F102" s="5"/>
      <c r="G102" s="5"/>
      <c r="H102" s="5"/>
    </row>
  </sheetData>
  <conditionalFormatting sqref="A2:H101">
    <cfRule type="expression" dxfId="0" priority="1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0"/>
    <col customWidth="1" min="3" max="3" width="16.75"/>
    <col customWidth="1" min="4" max="4" width="16.38"/>
    <col customWidth="1" min="5" max="5" width="18.25"/>
    <col customWidth="1" min="6" max="6" width="18.8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</row>
    <row r="2">
      <c r="A2" s="5" t="str">
        <f>General_Ledger_Data!A2</f>
        <v>TXN-1001</v>
      </c>
      <c r="B2" s="5">
        <f>Formula_Repair_Engine!G2</f>
        <v>6750</v>
      </c>
      <c r="C2" s="5">
        <f>General_Ledger_Data!H2</f>
        <v>6750</v>
      </c>
      <c r="D2" s="5">
        <f t="shared" ref="D2:D101" si="1">ABS(B2-C2)</f>
        <v>0</v>
      </c>
      <c r="E2" s="5">
        <f t="shared" ref="E2:E101" si="2">0.04</f>
        <v>0.04</v>
      </c>
      <c r="F2" s="5" t="str">
        <f t="shared" ref="F2:F101" si="3">IF(D2&lt;=E2, "MATCHED", "VARIANCE DETECTED")</f>
        <v>MATCHED</v>
      </c>
    </row>
    <row r="3">
      <c r="A3" s="5" t="str">
        <f>General_Ledger_Data!A3</f>
        <v>TXN-1002</v>
      </c>
      <c r="B3" s="5">
        <f>Formula_Repair_Engine!G3</f>
        <v>0</v>
      </c>
      <c r="C3" s="5">
        <f>General_Ledger_Data!H3</f>
        <v>3200</v>
      </c>
      <c r="D3" s="5">
        <f t="shared" si="1"/>
        <v>3200</v>
      </c>
      <c r="E3" s="5">
        <f t="shared" si="2"/>
        <v>0.04</v>
      </c>
      <c r="F3" s="5" t="str">
        <f t="shared" si="3"/>
        <v>VARIANCE DETECTED</v>
      </c>
    </row>
    <row r="4">
      <c r="A4" s="5" t="str">
        <f>General_Ledger_Data!A4</f>
        <v>TXN-1003</v>
      </c>
      <c r="B4" s="5">
        <f>Formula_Repair_Engine!G4</f>
        <v>0</v>
      </c>
      <c r="C4" s="5">
        <f>General_Ledger_Data!H4</f>
        <v>0</v>
      </c>
      <c r="D4" s="5">
        <f t="shared" si="1"/>
        <v>0</v>
      </c>
      <c r="E4" s="5">
        <f t="shared" si="2"/>
        <v>0.04</v>
      </c>
      <c r="F4" s="5" t="str">
        <f t="shared" si="3"/>
        <v>MATCHED</v>
      </c>
    </row>
    <row r="5">
      <c r="A5" s="5" t="str">
        <f>General_Ledger_Data!A5</f>
        <v>TXN-1004</v>
      </c>
      <c r="B5" s="5">
        <f>Formula_Repair_Engine!G5</f>
        <v>3100</v>
      </c>
      <c r="C5" s="5">
        <f>General_Ledger_Data!H5</f>
        <v>3100</v>
      </c>
      <c r="D5" s="5">
        <f t="shared" si="1"/>
        <v>0</v>
      </c>
      <c r="E5" s="5">
        <f t="shared" si="2"/>
        <v>0.04</v>
      </c>
      <c r="F5" s="5" t="str">
        <f t="shared" si="3"/>
        <v>MATCHED</v>
      </c>
    </row>
    <row r="6">
      <c r="A6" s="5" t="str">
        <f>General_Ledger_Data!A6</f>
        <v>TXN-1005</v>
      </c>
      <c r="B6" s="5">
        <f>Formula_Repair_Engine!G6</f>
        <v>15500</v>
      </c>
      <c r="C6" s="5">
        <f>General_Ledger_Data!H6</f>
        <v>15500</v>
      </c>
      <c r="D6" s="5">
        <f t="shared" si="1"/>
        <v>0</v>
      </c>
      <c r="E6" s="5">
        <f t="shared" si="2"/>
        <v>0.04</v>
      </c>
      <c r="F6" s="5" t="str">
        <f t="shared" si="3"/>
        <v>MATCHED</v>
      </c>
    </row>
    <row r="7">
      <c r="A7" s="5" t="str">
        <f>General_Ledger_Data!A7</f>
        <v>TXN-1006</v>
      </c>
      <c r="B7" s="5">
        <f>Formula_Repair_Engine!G7</f>
        <v>0</v>
      </c>
      <c r="C7" s="5">
        <f>General_Ledger_Data!H7</f>
        <v>1875</v>
      </c>
      <c r="D7" s="5">
        <f t="shared" si="1"/>
        <v>1875</v>
      </c>
      <c r="E7" s="5">
        <f t="shared" si="2"/>
        <v>0.04</v>
      </c>
      <c r="F7" s="5" t="str">
        <f t="shared" si="3"/>
        <v>VARIANCE DETECTED</v>
      </c>
    </row>
    <row r="8">
      <c r="A8" s="5" t="str">
        <f>General_Ledger_Data!A8</f>
        <v>TXN-1007</v>
      </c>
      <c r="B8" s="5">
        <f>Formula_Repair_Engine!G8</f>
        <v>11400</v>
      </c>
      <c r="C8" s="5">
        <f>General_Ledger_Data!H8</f>
        <v>11400</v>
      </c>
      <c r="D8" s="5">
        <f t="shared" si="1"/>
        <v>0</v>
      </c>
      <c r="E8" s="5">
        <f t="shared" si="2"/>
        <v>0.04</v>
      </c>
      <c r="F8" s="5" t="str">
        <f t="shared" si="3"/>
        <v>MATCHED</v>
      </c>
    </row>
    <row r="9">
      <c r="A9" s="5" t="str">
        <f>General_Ledger_Data!A9</f>
        <v>TXN-1008</v>
      </c>
      <c r="B9" s="5">
        <f>Formula_Repair_Engine!G9</f>
        <v>0</v>
      </c>
      <c r="C9" s="5">
        <f>General_Ledger_Data!H9</f>
        <v>0</v>
      </c>
      <c r="D9" s="5">
        <f t="shared" si="1"/>
        <v>0</v>
      </c>
      <c r="E9" s="5">
        <f t="shared" si="2"/>
        <v>0.04</v>
      </c>
      <c r="F9" s="5" t="str">
        <f t="shared" si="3"/>
        <v>MATCHED</v>
      </c>
    </row>
    <row r="10">
      <c r="A10" s="5" t="str">
        <f>General_Ledger_Data!A10</f>
        <v>TXN-1009</v>
      </c>
      <c r="B10" s="5">
        <f>Formula_Repair_Engine!G10</f>
        <v>0</v>
      </c>
      <c r="C10" s="5">
        <f>General_Ledger_Data!H10</f>
        <v>1800</v>
      </c>
      <c r="D10" s="5">
        <f t="shared" si="1"/>
        <v>1800</v>
      </c>
      <c r="E10" s="5">
        <f t="shared" si="2"/>
        <v>0.04</v>
      </c>
      <c r="F10" s="5" t="str">
        <f t="shared" si="3"/>
        <v>VARIANCE DETECTED</v>
      </c>
    </row>
    <row r="11">
      <c r="A11" s="5" t="str">
        <f>General_Ledger_Data!A11</f>
        <v>TXN-1010</v>
      </c>
      <c r="B11" s="5">
        <f>Formula_Repair_Engine!G11</f>
        <v>6250</v>
      </c>
      <c r="C11" s="5">
        <f>General_Ledger_Data!H11</f>
        <v>6250</v>
      </c>
      <c r="D11" s="5">
        <f t="shared" si="1"/>
        <v>0</v>
      </c>
      <c r="E11" s="5">
        <f t="shared" si="2"/>
        <v>0.04</v>
      </c>
      <c r="F11" s="5" t="str">
        <f t="shared" si="3"/>
        <v>MATCHED</v>
      </c>
    </row>
    <row r="12">
      <c r="A12" s="5" t="str">
        <f>General_Ledger_Data!A12</f>
        <v>TXN-1011</v>
      </c>
      <c r="B12" s="5">
        <f>Formula_Repair_Engine!G12</f>
        <v>4500</v>
      </c>
      <c r="C12" s="5">
        <f>General_Ledger_Data!H12</f>
        <v>4500</v>
      </c>
      <c r="D12" s="5">
        <f t="shared" si="1"/>
        <v>0</v>
      </c>
      <c r="E12" s="5">
        <f t="shared" si="2"/>
        <v>0.04</v>
      </c>
      <c r="F12" s="5" t="str">
        <f t="shared" si="3"/>
        <v>MATCHED</v>
      </c>
    </row>
    <row r="13">
      <c r="A13" s="5" t="str">
        <f>General_Ledger_Data!A13</f>
        <v>TXN-1012</v>
      </c>
      <c r="B13" s="5">
        <f>Formula_Repair_Engine!G13</f>
        <v>12500</v>
      </c>
      <c r="C13" s="5">
        <f>General_Ledger_Data!H13</f>
        <v>12500.05</v>
      </c>
      <c r="D13" s="5">
        <f t="shared" si="1"/>
        <v>0.05</v>
      </c>
      <c r="E13" s="5">
        <f t="shared" si="2"/>
        <v>0.04</v>
      </c>
      <c r="F13" s="5" t="str">
        <f t="shared" si="3"/>
        <v>VARIANCE DETECTED</v>
      </c>
    </row>
    <row r="14">
      <c r="A14" s="5" t="str">
        <f>General_Ledger_Data!A14</f>
        <v>TXN-1013</v>
      </c>
      <c r="B14" s="5">
        <f>Formula_Repair_Engine!G14</f>
        <v>0</v>
      </c>
      <c r="C14" s="5">
        <f>General_Ledger_Data!H14</f>
        <v>450</v>
      </c>
      <c r="D14" s="5">
        <f t="shared" si="1"/>
        <v>450</v>
      </c>
      <c r="E14" s="5">
        <f t="shared" si="2"/>
        <v>0.04</v>
      </c>
      <c r="F14" s="5" t="str">
        <f t="shared" si="3"/>
        <v>VARIANCE DETECTED</v>
      </c>
    </row>
    <row r="15">
      <c r="A15" s="5" t="str">
        <f>General_Ledger_Data!A15</f>
        <v>TXN-1014</v>
      </c>
      <c r="B15" s="5">
        <f>Formula_Repair_Engine!G15</f>
        <v>5005</v>
      </c>
      <c r="C15" s="5">
        <f>General_Ledger_Data!H15</f>
        <v>5005</v>
      </c>
      <c r="D15" s="5">
        <f t="shared" si="1"/>
        <v>0</v>
      </c>
      <c r="E15" s="5">
        <f t="shared" si="2"/>
        <v>0.04</v>
      </c>
      <c r="F15" s="5" t="str">
        <f t="shared" si="3"/>
        <v>MATCHED</v>
      </c>
    </row>
    <row r="16">
      <c r="A16" s="5" t="str">
        <f>General_Ledger_Data!A16</f>
        <v>TXN-1015</v>
      </c>
      <c r="B16" s="5">
        <f>Formula_Repair_Engine!G16</f>
        <v>4800</v>
      </c>
      <c r="C16" s="5">
        <f>General_Ledger_Data!H16</f>
        <v>4800</v>
      </c>
      <c r="D16" s="5">
        <f t="shared" si="1"/>
        <v>0</v>
      </c>
      <c r="E16" s="5">
        <f t="shared" si="2"/>
        <v>0.04</v>
      </c>
      <c r="F16" s="5" t="str">
        <f t="shared" si="3"/>
        <v>MATCHED</v>
      </c>
    </row>
    <row r="17">
      <c r="A17" s="5" t="str">
        <f>General_Ledger_Data!A17</f>
        <v>TXN-1016</v>
      </c>
      <c r="B17" s="5">
        <f>Formula_Repair_Engine!G17</f>
        <v>0</v>
      </c>
      <c r="C17" s="5">
        <f>General_Ledger_Data!H17</f>
        <v>2700</v>
      </c>
      <c r="D17" s="5">
        <f t="shared" si="1"/>
        <v>2700</v>
      </c>
      <c r="E17" s="5">
        <f t="shared" si="2"/>
        <v>0.04</v>
      </c>
      <c r="F17" s="5" t="str">
        <f t="shared" si="3"/>
        <v>VARIANCE DETECTED</v>
      </c>
    </row>
    <row r="18">
      <c r="A18" s="5" t="str">
        <f>General_Ledger_Data!A18</f>
        <v>TXN-1017</v>
      </c>
      <c r="B18" s="5">
        <f>Formula_Repair_Engine!G18</f>
        <v>7200</v>
      </c>
      <c r="C18" s="5">
        <f>General_Ledger_Data!H18</f>
        <v>7200</v>
      </c>
      <c r="D18" s="5">
        <f t="shared" si="1"/>
        <v>0</v>
      </c>
      <c r="E18" s="5">
        <f t="shared" si="2"/>
        <v>0.04</v>
      </c>
      <c r="F18" s="5" t="str">
        <f t="shared" si="3"/>
        <v>MATCHED</v>
      </c>
    </row>
    <row r="19">
      <c r="A19" s="5" t="str">
        <f>General_Ledger_Data!A19</f>
        <v>TXN-1018</v>
      </c>
      <c r="B19" s="5">
        <f>Formula_Repair_Engine!G19</f>
        <v>0</v>
      </c>
      <c r="C19" s="5">
        <f>General_Ledger_Data!H19</f>
        <v>0</v>
      </c>
      <c r="D19" s="5">
        <f t="shared" si="1"/>
        <v>0</v>
      </c>
      <c r="E19" s="5">
        <f t="shared" si="2"/>
        <v>0.04</v>
      </c>
      <c r="F19" s="5" t="str">
        <f t="shared" si="3"/>
        <v>MATCHED</v>
      </c>
    </row>
    <row r="20">
      <c r="A20" s="5" t="str">
        <f>General_Ledger_Data!A20</f>
        <v>TXN-1019</v>
      </c>
      <c r="B20" s="5">
        <f>Formula_Repair_Engine!G20</f>
        <v>0</v>
      </c>
      <c r="C20" s="5">
        <f>General_Ledger_Data!H20</f>
        <v>3300</v>
      </c>
      <c r="D20" s="5">
        <f t="shared" si="1"/>
        <v>3300</v>
      </c>
      <c r="E20" s="5">
        <f t="shared" si="2"/>
        <v>0.04</v>
      </c>
      <c r="F20" s="5" t="str">
        <f t="shared" si="3"/>
        <v>VARIANCE DETECTED</v>
      </c>
    </row>
    <row r="21">
      <c r="A21" s="5" t="str">
        <f>General_Ledger_Data!A21</f>
        <v>TXN-1020</v>
      </c>
      <c r="B21" s="5">
        <f>Formula_Repair_Engine!G21</f>
        <v>8700</v>
      </c>
      <c r="C21" s="5">
        <f>General_Ledger_Data!H21</f>
        <v>8700</v>
      </c>
      <c r="D21" s="5">
        <f t="shared" si="1"/>
        <v>0</v>
      </c>
      <c r="E21" s="5">
        <f t="shared" si="2"/>
        <v>0.04</v>
      </c>
      <c r="F21" s="5" t="str">
        <f t="shared" si="3"/>
        <v>MATCHED</v>
      </c>
    </row>
    <row r="22">
      <c r="A22" s="5" t="str">
        <f>General_Ledger_Data!A22</f>
        <v>TXN-1021</v>
      </c>
      <c r="B22" s="5">
        <f>Formula_Repair_Engine!G22</f>
        <v>4200</v>
      </c>
      <c r="C22" s="5">
        <f>General_Ledger_Data!H22</f>
        <v>4200</v>
      </c>
      <c r="D22" s="5">
        <f t="shared" si="1"/>
        <v>0</v>
      </c>
      <c r="E22" s="5">
        <f t="shared" si="2"/>
        <v>0.04</v>
      </c>
      <c r="F22" s="5" t="str">
        <f t="shared" si="3"/>
        <v>MATCHED</v>
      </c>
    </row>
    <row r="23">
      <c r="A23" s="5" t="str">
        <f>General_Ledger_Data!A23</f>
        <v>TXN-1022</v>
      </c>
      <c r="B23" s="5">
        <f>Formula_Repair_Engine!G23</f>
        <v>11250</v>
      </c>
      <c r="C23" s="5">
        <f>General_Ledger_Data!H23</f>
        <v>11250</v>
      </c>
      <c r="D23" s="5">
        <f t="shared" si="1"/>
        <v>0</v>
      </c>
      <c r="E23" s="5">
        <f t="shared" si="2"/>
        <v>0.04</v>
      </c>
      <c r="F23" s="5" t="str">
        <f t="shared" si="3"/>
        <v>MATCHED</v>
      </c>
    </row>
    <row r="24">
      <c r="A24" s="5" t="str">
        <f>General_Ledger_Data!A24</f>
        <v>TXN-1023</v>
      </c>
      <c r="B24" s="5">
        <f>Formula_Repair_Engine!G24</f>
        <v>6300</v>
      </c>
      <c r="C24" s="5">
        <f>General_Ledger_Data!H24</f>
        <v>6300</v>
      </c>
      <c r="D24" s="5">
        <f t="shared" si="1"/>
        <v>0</v>
      </c>
      <c r="E24" s="5">
        <f t="shared" si="2"/>
        <v>0.04</v>
      </c>
      <c r="F24" s="5" t="str">
        <f t="shared" si="3"/>
        <v>MATCHED</v>
      </c>
    </row>
    <row r="25">
      <c r="A25" s="5" t="str">
        <f>General_Ledger_Data!A25</f>
        <v>TXN-1024</v>
      </c>
      <c r="B25" s="5">
        <f>Formula_Repair_Engine!G25</f>
        <v>0</v>
      </c>
      <c r="C25" s="5">
        <f>General_Ledger_Data!H25</f>
        <v>4500</v>
      </c>
      <c r="D25" s="5">
        <f t="shared" si="1"/>
        <v>4500</v>
      </c>
      <c r="E25" s="5">
        <f t="shared" si="2"/>
        <v>0.04</v>
      </c>
      <c r="F25" s="5" t="str">
        <f t="shared" si="3"/>
        <v>VARIANCE DETECTED</v>
      </c>
    </row>
    <row r="26">
      <c r="A26" s="5" t="str">
        <f>General_Ledger_Data!A26</f>
        <v>TXN-1025</v>
      </c>
      <c r="B26" s="5">
        <f>Formula_Repair_Engine!G26</f>
        <v>9450</v>
      </c>
      <c r="C26" s="5">
        <f>General_Ledger_Data!H26</f>
        <v>9450</v>
      </c>
      <c r="D26" s="5">
        <f t="shared" si="1"/>
        <v>0</v>
      </c>
      <c r="E26" s="5">
        <f t="shared" si="2"/>
        <v>0.04</v>
      </c>
      <c r="F26" s="5" t="str">
        <f t="shared" si="3"/>
        <v>MATCHED</v>
      </c>
    </row>
    <row r="27">
      <c r="A27" s="5" t="str">
        <f>General_Ledger_Data!A27</f>
        <v>TXN-1026</v>
      </c>
      <c r="B27" s="5">
        <f>Formula_Repair_Engine!G27</f>
        <v>0</v>
      </c>
      <c r="C27" s="5">
        <f>General_Ledger_Data!H27</f>
        <v>10000</v>
      </c>
      <c r="D27" s="5">
        <f t="shared" si="1"/>
        <v>10000</v>
      </c>
      <c r="E27" s="5">
        <f t="shared" si="2"/>
        <v>0.04</v>
      </c>
      <c r="F27" s="5" t="str">
        <f t="shared" si="3"/>
        <v>VARIANCE DETECTED</v>
      </c>
    </row>
    <row r="28">
      <c r="A28" s="5" t="str">
        <f>General_Ledger_Data!A28</f>
        <v>TXN-1027</v>
      </c>
      <c r="B28" s="5">
        <f>Formula_Repair_Engine!G28</f>
        <v>15300</v>
      </c>
      <c r="C28" s="5">
        <f>General_Ledger_Data!H28</f>
        <v>15300</v>
      </c>
      <c r="D28" s="5">
        <f t="shared" si="1"/>
        <v>0</v>
      </c>
      <c r="E28" s="5">
        <f t="shared" si="2"/>
        <v>0.04</v>
      </c>
      <c r="F28" s="5" t="str">
        <f t="shared" si="3"/>
        <v>MATCHED</v>
      </c>
    </row>
    <row r="29">
      <c r="A29" s="5" t="str">
        <f>General_Ledger_Data!A29</f>
        <v>TXN-1028</v>
      </c>
      <c r="B29" s="5">
        <f>Formula_Repair_Engine!G29</f>
        <v>0</v>
      </c>
      <c r="C29" s="5">
        <f>General_Ledger_Data!H29</f>
        <v>0</v>
      </c>
      <c r="D29" s="5">
        <f t="shared" si="1"/>
        <v>0</v>
      </c>
      <c r="E29" s="5">
        <f t="shared" si="2"/>
        <v>0.04</v>
      </c>
      <c r="F29" s="5" t="str">
        <f t="shared" si="3"/>
        <v>MATCHED</v>
      </c>
    </row>
    <row r="30">
      <c r="A30" s="5" t="str">
        <f>General_Ledger_Data!A30</f>
        <v>TXN-1029</v>
      </c>
      <c r="B30" s="5">
        <f>Formula_Repair_Engine!G30</f>
        <v>6750</v>
      </c>
      <c r="C30" s="5">
        <f>General_Ledger_Data!H30</f>
        <v>6750</v>
      </c>
      <c r="D30" s="5">
        <f t="shared" si="1"/>
        <v>0</v>
      </c>
      <c r="E30" s="5">
        <f t="shared" si="2"/>
        <v>0.04</v>
      </c>
      <c r="F30" s="5" t="str">
        <f t="shared" si="3"/>
        <v>MATCHED</v>
      </c>
    </row>
    <row r="31">
      <c r="A31" s="5" t="str">
        <f>General_Ledger_Data!A31</f>
        <v>TXN-1030</v>
      </c>
      <c r="B31" s="5">
        <f>Formula_Repair_Engine!G31</f>
        <v>7700</v>
      </c>
      <c r="C31" s="5">
        <f>General_Ledger_Data!H31</f>
        <v>7700</v>
      </c>
      <c r="D31" s="5">
        <f t="shared" si="1"/>
        <v>0</v>
      </c>
      <c r="E31" s="5">
        <f t="shared" si="2"/>
        <v>0.04</v>
      </c>
      <c r="F31" s="5" t="str">
        <f t="shared" si="3"/>
        <v>MATCHED</v>
      </c>
    </row>
    <row r="32">
      <c r="A32" s="5" t="str">
        <f>General_Ledger_Data!A32</f>
        <v>TXN-1031</v>
      </c>
      <c r="B32" s="5">
        <f>Formula_Repair_Engine!G32</f>
        <v>6720</v>
      </c>
      <c r="C32" s="5">
        <f>General_Ledger_Data!H32</f>
        <v>6720</v>
      </c>
      <c r="D32" s="5">
        <f t="shared" si="1"/>
        <v>0</v>
      </c>
      <c r="E32" s="5">
        <f t="shared" si="2"/>
        <v>0.04</v>
      </c>
      <c r="F32" s="5" t="str">
        <f t="shared" si="3"/>
        <v>MATCHED</v>
      </c>
    </row>
    <row r="33">
      <c r="A33" s="5" t="str">
        <f>General_Ledger_Data!A33</f>
        <v>TXN-1032</v>
      </c>
      <c r="B33" s="5">
        <f>Formula_Repair_Engine!G33</f>
        <v>29450</v>
      </c>
      <c r="C33" s="5">
        <f>General_Ledger_Data!H33</f>
        <v>29450</v>
      </c>
      <c r="D33" s="5">
        <f t="shared" si="1"/>
        <v>0</v>
      </c>
      <c r="E33" s="5">
        <f t="shared" si="2"/>
        <v>0.04</v>
      </c>
      <c r="F33" s="5" t="str">
        <f t="shared" si="3"/>
        <v>MATCHED</v>
      </c>
    </row>
    <row r="34">
      <c r="A34" s="5" t="str">
        <f>General_Ledger_Data!A34</f>
        <v>TXN-1033</v>
      </c>
      <c r="B34" s="5">
        <f>Formula_Repair_Engine!G34</f>
        <v>0</v>
      </c>
      <c r="C34" s="5">
        <f>General_Ledger_Data!H34</f>
        <v>300</v>
      </c>
      <c r="D34" s="5">
        <f t="shared" si="1"/>
        <v>300</v>
      </c>
      <c r="E34" s="5">
        <f t="shared" si="2"/>
        <v>0.04</v>
      </c>
      <c r="F34" s="5" t="str">
        <f t="shared" si="3"/>
        <v>VARIANCE DETECTED</v>
      </c>
    </row>
    <row r="35">
      <c r="A35" s="5" t="str">
        <f>General_Ledger_Data!A35</f>
        <v>TXN-1034</v>
      </c>
      <c r="B35" s="5">
        <f>Formula_Repair_Engine!G35</f>
        <v>13650</v>
      </c>
      <c r="C35" s="5">
        <f>General_Ledger_Data!H35</f>
        <v>13650</v>
      </c>
      <c r="D35" s="5">
        <f t="shared" si="1"/>
        <v>0</v>
      </c>
      <c r="E35" s="5">
        <f t="shared" si="2"/>
        <v>0.04</v>
      </c>
      <c r="F35" s="5" t="str">
        <f t="shared" si="3"/>
        <v>MATCHED</v>
      </c>
    </row>
    <row r="36">
      <c r="A36" s="5" t="str">
        <f>General_Ledger_Data!A36</f>
        <v>TXN-1035</v>
      </c>
      <c r="B36" s="5">
        <f>Formula_Repair_Engine!G36</f>
        <v>12000</v>
      </c>
      <c r="C36" s="5">
        <f>General_Ledger_Data!H36</f>
        <v>12000</v>
      </c>
      <c r="D36" s="5">
        <f t="shared" si="1"/>
        <v>0</v>
      </c>
      <c r="E36" s="5">
        <f t="shared" si="2"/>
        <v>0.04</v>
      </c>
      <c r="F36" s="5" t="str">
        <f t="shared" si="3"/>
        <v>MATCHED</v>
      </c>
    </row>
    <row r="37">
      <c r="A37" s="5" t="str">
        <f>General_Ledger_Data!A37</f>
        <v>TXN-1036</v>
      </c>
      <c r="B37" s="5">
        <f>Formula_Repair_Engine!G37</f>
        <v>0</v>
      </c>
      <c r="C37" s="5">
        <f>General_Ledger_Data!H37</f>
        <v>5750</v>
      </c>
      <c r="D37" s="5">
        <f t="shared" si="1"/>
        <v>5750</v>
      </c>
      <c r="E37" s="5">
        <f t="shared" si="2"/>
        <v>0.04</v>
      </c>
      <c r="F37" s="5" t="str">
        <f t="shared" si="3"/>
        <v>VARIANCE DETECTED</v>
      </c>
    </row>
    <row r="38">
      <c r="A38" s="5" t="str">
        <f>General_Ledger_Data!A38</f>
        <v>TXN-1037</v>
      </c>
      <c r="B38" s="5">
        <f>Formula_Repair_Engine!G38</f>
        <v>7700</v>
      </c>
      <c r="C38" s="5">
        <f>General_Ledger_Data!H38</f>
        <v>7700</v>
      </c>
      <c r="D38" s="5">
        <f t="shared" si="1"/>
        <v>0</v>
      </c>
      <c r="E38" s="5">
        <f t="shared" si="2"/>
        <v>0.04</v>
      </c>
      <c r="F38" s="5" t="str">
        <f t="shared" si="3"/>
        <v>MATCHED</v>
      </c>
    </row>
    <row r="39">
      <c r="A39" s="5" t="str">
        <f>General_Ledger_Data!A39</f>
        <v>TXN-1038</v>
      </c>
      <c r="B39" s="5">
        <f>Formula_Repair_Engine!G39</f>
        <v>0</v>
      </c>
      <c r="C39" s="5">
        <f>General_Ledger_Data!H39</f>
        <v>0</v>
      </c>
      <c r="D39" s="5">
        <f t="shared" si="1"/>
        <v>0</v>
      </c>
      <c r="E39" s="5">
        <f t="shared" si="2"/>
        <v>0.04</v>
      </c>
      <c r="F39" s="5" t="str">
        <f t="shared" si="3"/>
        <v>MATCHED</v>
      </c>
    </row>
    <row r="40">
      <c r="A40" s="5" t="str">
        <f>General_Ledger_Data!A40</f>
        <v>TXN-1039</v>
      </c>
      <c r="B40" s="5">
        <f>Formula_Repair_Engine!G40</f>
        <v>10625</v>
      </c>
      <c r="C40" s="5">
        <f>General_Ledger_Data!H40</f>
        <v>10625</v>
      </c>
      <c r="D40" s="5">
        <f t="shared" si="1"/>
        <v>0</v>
      </c>
      <c r="E40" s="5">
        <f t="shared" si="2"/>
        <v>0.04</v>
      </c>
      <c r="F40" s="5" t="str">
        <f t="shared" si="3"/>
        <v>MATCHED</v>
      </c>
    </row>
    <row r="41">
      <c r="A41" s="5" t="str">
        <f>General_Ledger_Data!A41</f>
        <v>TXN-1040</v>
      </c>
      <c r="B41" s="5">
        <f>Formula_Repair_Engine!G41</f>
        <v>3825</v>
      </c>
      <c r="C41" s="5">
        <f>General_Ledger_Data!H41</f>
        <v>3825</v>
      </c>
      <c r="D41" s="5">
        <f t="shared" si="1"/>
        <v>0</v>
      </c>
      <c r="E41" s="5">
        <f t="shared" si="2"/>
        <v>0.04</v>
      </c>
      <c r="F41" s="5" t="str">
        <f t="shared" si="3"/>
        <v>MATCHED</v>
      </c>
    </row>
    <row r="42">
      <c r="A42" s="5" t="str">
        <f>General_Ledger_Data!A42</f>
        <v>TXN-1041</v>
      </c>
      <c r="B42" s="5">
        <f>Formula_Repair_Engine!G42</f>
        <v>7125</v>
      </c>
      <c r="C42" s="5">
        <f>General_Ledger_Data!H42</f>
        <v>7125</v>
      </c>
      <c r="D42" s="5">
        <f t="shared" si="1"/>
        <v>0</v>
      </c>
      <c r="E42" s="5">
        <f t="shared" si="2"/>
        <v>0.04</v>
      </c>
      <c r="F42" s="5" t="str">
        <f t="shared" si="3"/>
        <v>MATCHED</v>
      </c>
    </row>
    <row r="43">
      <c r="A43" s="5" t="str">
        <f>General_Ledger_Data!A43</f>
        <v>TXN-1042</v>
      </c>
      <c r="B43" s="5">
        <f>Formula_Repair_Engine!G43</f>
        <v>47500</v>
      </c>
      <c r="C43" s="5">
        <f>General_Ledger_Data!H43</f>
        <v>47500.1</v>
      </c>
      <c r="D43" s="5">
        <f t="shared" si="1"/>
        <v>0.1</v>
      </c>
      <c r="E43" s="5">
        <f t="shared" si="2"/>
        <v>0.04</v>
      </c>
      <c r="F43" s="5" t="str">
        <f t="shared" si="3"/>
        <v>VARIANCE DETECTED</v>
      </c>
    </row>
    <row r="44">
      <c r="A44" s="5" t="str">
        <f>General_Ledger_Data!A44</f>
        <v>TXN-1043</v>
      </c>
      <c r="B44" s="5">
        <f>Formula_Repair_Engine!G44</f>
        <v>6000</v>
      </c>
      <c r="C44" s="5">
        <f>General_Ledger_Data!H44</f>
        <v>6000</v>
      </c>
      <c r="D44" s="5">
        <f t="shared" si="1"/>
        <v>0</v>
      </c>
      <c r="E44" s="5">
        <f t="shared" si="2"/>
        <v>0.04</v>
      </c>
      <c r="F44" s="5" t="str">
        <f t="shared" si="3"/>
        <v>MATCHED</v>
      </c>
    </row>
    <row r="45">
      <c r="A45" s="5" t="str">
        <f>General_Ledger_Data!A45</f>
        <v>TXN-1044</v>
      </c>
      <c r="B45" s="5">
        <f>Formula_Repair_Engine!G45</f>
        <v>0</v>
      </c>
      <c r="C45" s="5">
        <f>General_Ledger_Data!H45</f>
        <v>3600</v>
      </c>
      <c r="D45" s="5">
        <f t="shared" si="1"/>
        <v>3600</v>
      </c>
      <c r="E45" s="5">
        <f t="shared" si="2"/>
        <v>0.04</v>
      </c>
      <c r="F45" s="5" t="str">
        <f t="shared" si="3"/>
        <v>VARIANCE DETECTED</v>
      </c>
    </row>
    <row r="46">
      <c r="A46" s="5" t="str">
        <f>General_Ledger_Data!A46</f>
        <v>TXN-1045</v>
      </c>
      <c r="B46" s="5">
        <f>Formula_Repair_Engine!G46</f>
        <v>9900</v>
      </c>
      <c r="C46" s="5">
        <f>General_Ledger_Data!H46</f>
        <v>9900</v>
      </c>
      <c r="D46" s="5">
        <f t="shared" si="1"/>
        <v>0</v>
      </c>
      <c r="E46" s="5">
        <f t="shared" si="2"/>
        <v>0.04</v>
      </c>
      <c r="F46" s="5" t="str">
        <f t="shared" si="3"/>
        <v>MATCHED</v>
      </c>
    </row>
    <row r="47">
      <c r="A47" s="5" t="str">
        <f>General_Ledger_Data!A47</f>
        <v>TXN-1046</v>
      </c>
      <c r="B47" s="5">
        <f>Formula_Repair_Engine!G47</f>
        <v>0</v>
      </c>
      <c r="C47" s="5">
        <f>General_Ledger_Data!H47</f>
        <v>4200</v>
      </c>
      <c r="D47" s="5">
        <f t="shared" si="1"/>
        <v>4200</v>
      </c>
      <c r="E47" s="5">
        <f t="shared" si="2"/>
        <v>0.04</v>
      </c>
      <c r="F47" s="5" t="str">
        <f t="shared" si="3"/>
        <v>VARIANCE DETECTED</v>
      </c>
    </row>
    <row r="48">
      <c r="A48" s="5" t="str">
        <f>General_Ledger_Data!A48</f>
        <v>TXN-1047</v>
      </c>
      <c r="B48" s="5">
        <f>Formula_Repair_Engine!G48</f>
        <v>14700</v>
      </c>
      <c r="C48" s="5">
        <f>General_Ledger_Data!H48</f>
        <v>14700</v>
      </c>
      <c r="D48" s="5">
        <f t="shared" si="1"/>
        <v>0</v>
      </c>
      <c r="E48" s="5">
        <f t="shared" si="2"/>
        <v>0.04</v>
      </c>
      <c r="F48" s="5" t="str">
        <f t="shared" si="3"/>
        <v>MATCHED</v>
      </c>
    </row>
    <row r="49">
      <c r="A49" s="5" t="str">
        <f>General_Ledger_Data!A49</f>
        <v>TXN-1048</v>
      </c>
      <c r="B49" s="5">
        <f>Formula_Repair_Engine!G49</f>
        <v>0</v>
      </c>
      <c r="C49" s="5">
        <f>General_Ledger_Data!H49</f>
        <v>0</v>
      </c>
      <c r="D49" s="5">
        <f t="shared" si="1"/>
        <v>0</v>
      </c>
      <c r="E49" s="5">
        <f t="shared" si="2"/>
        <v>0.04</v>
      </c>
      <c r="F49" s="5" t="str">
        <f t="shared" si="3"/>
        <v>MATCHED</v>
      </c>
    </row>
    <row r="50">
      <c r="A50" s="5" t="str">
        <f>General_Ledger_Data!A50</f>
        <v>TXN-1049</v>
      </c>
      <c r="B50" s="5">
        <f>Formula_Repair_Engine!G50</f>
        <v>10000</v>
      </c>
      <c r="C50" s="5">
        <f>General_Ledger_Data!H50</f>
        <v>10000</v>
      </c>
      <c r="D50" s="5">
        <f t="shared" si="1"/>
        <v>0</v>
      </c>
      <c r="E50" s="5">
        <f t="shared" si="2"/>
        <v>0.04</v>
      </c>
      <c r="F50" s="5" t="str">
        <f t="shared" si="3"/>
        <v>MATCHED</v>
      </c>
    </row>
    <row r="51">
      <c r="A51" s="5" t="str">
        <f>General_Ledger_Data!A51</f>
        <v>TXN-1050</v>
      </c>
      <c r="B51" s="5">
        <f>Formula_Repair_Engine!G51</f>
        <v>5840</v>
      </c>
      <c r="C51" s="5">
        <f>General_Ledger_Data!H51</f>
        <v>5840</v>
      </c>
      <c r="D51" s="5">
        <f t="shared" si="1"/>
        <v>0</v>
      </c>
      <c r="E51" s="5">
        <f t="shared" si="2"/>
        <v>0.04</v>
      </c>
      <c r="F51" s="5" t="str">
        <f t="shared" si="3"/>
        <v>MATCHED</v>
      </c>
    </row>
    <row r="52">
      <c r="A52" s="5" t="str">
        <f>General_Ledger_Data!A52</f>
        <v>TXN-1051</v>
      </c>
      <c r="B52" s="5">
        <f>Formula_Repair_Engine!G52</f>
        <v>7700</v>
      </c>
      <c r="C52" s="5">
        <f>General_Ledger_Data!H52</f>
        <v>7700</v>
      </c>
      <c r="D52" s="5">
        <f t="shared" si="1"/>
        <v>0</v>
      </c>
      <c r="E52" s="5">
        <f t="shared" si="2"/>
        <v>0.04</v>
      </c>
      <c r="F52" s="5" t="str">
        <f t="shared" si="3"/>
        <v>MATCHED</v>
      </c>
    </row>
    <row r="53">
      <c r="A53" s="5" t="str">
        <f>General_Ledger_Data!A53</f>
        <v>TXN-1052</v>
      </c>
      <c r="B53" s="5">
        <f>Formula_Repair_Engine!G53</f>
        <v>31500</v>
      </c>
      <c r="C53" s="5">
        <f>General_Ledger_Data!H53</f>
        <v>31500</v>
      </c>
      <c r="D53" s="5">
        <f t="shared" si="1"/>
        <v>0</v>
      </c>
      <c r="E53" s="5">
        <f t="shared" si="2"/>
        <v>0.04</v>
      </c>
      <c r="F53" s="5" t="str">
        <f t="shared" si="3"/>
        <v>MATCHED</v>
      </c>
    </row>
    <row r="54">
      <c r="A54" s="5" t="str">
        <f>General_Ledger_Data!A54</f>
        <v>TXN-1053</v>
      </c>
      <c r="B54" s="5">
        <f>Formula_Repair_Engine!G54</f>
        <v>5700</v>
      </c>
      <c r="C54" s="5">
        <f>General_Ledger_Data!H54</f>
        <v>5700</v>
      </c>
      <c r="D54" s="5">
        <f t="shared" si="1"/>
        <v>0</v>
      </c>
      <c r="E54" s="5">
        <f t="shared" si="2"/>
        <v>0.04</v>
      </c>
      <c r="F54" s="5" t="str">
        <f t="shared" si="3"/>
        <v>MATCHED</v>
      </c>
    </row>
    <row r="55">
      <c r="A55" s="5" t="str">
        <f>General_Ledger_Data!A55</f>
        <v>TXN-1054</v>
      </c>
      <c r="B55" s="5">
        <f>Formula_Repair_Engine!G55</f>
        <v>0</v>
      </c>
      <c r="C55" s="5">
        <f>General_Ledger_Data!H55</f>
        <v>5100</v>
      </c>
      <c r="D55" s="5">
        <f t="shared" si="1"/>
        <v>5100</v>
      </c>
      <c r="E55" s="5">
        <f t="shared" si="2"/>
        <v>0.04</v>
      </c>
      <c r="F55" s="5" t="str">
        <f t="shared" si="3"/>
        <v>VARIANCE DETECTED</v>
      </c>
    </row>
    <row r="56">
      <c r="A56" s="5" t="str">
        <f>General_Ledger_Data!A56</f>
        <v>TXN-1055</v>
      </c>
      <c r="B56" s="5">
        <f>Formula_Repair_Engine!G56</f>
        <v>15950</v>
      </c>
      <c r="C56" s="5">
        <f>General_Ledger_Data!H56</f>
        <v>15950</v>
      </c>
      <c r="D56" s="5">
        <f t="shared" si="1"/>
        <v>0</v>
      </c>
      <c r="E56" s="5">
        <f t="shared" si="2"/>
        <v>0.04</v>
      </c>
      <c r="F56" s="5" t="str">
        <f t="shared" si="3"/>
        <v>MATCHED</v>
      </c>
    </row>
    <row r="57">
      <c r="A57" s="5" t="str">
        <f>General_Ledger_Data!A57</f>
        <v>TXN-1056</v>
      </c>
      <c r="B57" s="5">
        <f>Formula_Repair_Engine!G57</f>
        <v>0</v>
      </c>
      <c r="C57" s="5">
        <f>General_Ledger_Data!H57</f>
        <v>8000</v>
      </c>
      <c r="D57" s="5">
        <f t="shared" si="1"/>
        <v>8000</v>
      </c>
      <c r="E57" s="5">
        <f t="shared" si="2"/>
        <v>0.04</v>
      </c>
      <c r="F57" s="5" t="str">
        <f t="shared" si="3"/>
        <v>VARIANCE DETECTED</v>
      </c>
    </row>
    <row r="58">
      <c r="A58" s="5" t="str">
        <f>General_Ledger_Data!A58</f>
        <v>TXN-1057</v>
      </c>
      <c r="B58" s="5">
        <f>Formula_Repair_Engine!G58</f>
        <v>18150</v>
      </c>
      <c r="C58" s="5">
        <f>General_Ledger_Data!H58</f>
        <v>18150</v>
      </c>
      <c r="D58" s="5">
        <f t="shared" si="1"/>
        <v>0</v>
      </c>
      <c r="E58" s="5">
        <f t="shared" si="2"/>
        <v>0.04</v>
      </c>
      <c r="F58" s="5" t="str">
        <f t="shared" si="3"/>
        <v>MATCHED</v>
      </c>
    </row>
    <row r="59">
      <c r="A59" s="5" t="str">
        <f>General_Ledger_Data!A59</f>
        <v>TXN-1058</v>
      </c>
      <c r="B59" s="5">
        <f>Formula_Repair_Engine!G59</f>
        <v>0</v>
      </c>
      <c r="C59" s="5">
        <f>General_Ledger_Data!H59</f>
        <v>0</v>
      </c>
      <c r="D59" s="5">
        <f t="shared" si="1"/>
        <v>0</v>
      </c>
      <c r="E59" s="5">
        <f t="shared" si="2"/>
        <v>0.04</v>
      </c>
      <c r="F59" s="5" t="str">
        <f t="shared" si="3"/>
        <v>MATCHED</v>
      </c>
    </row>
    <row r="60">
      <c r="A60" s="5" t="str">
        <f>General_Ledger_Data!A60</f>
        <v>TXN-1059</v>
      </c>
      <c r="B60" s="5">
        <f>Formula_Repair_Engine!G60</f>
        <v>7920</v>
      </c>
      <c r="C60" s="5">
        <f>General_Ledger_Data!H60</f>
        <v>7920</v>
      </c>
      <c r="D60" s="5">
        <f t="shared" si="1"/>
        <v>0</v>
      </c>
      <c r="E60" s="5">
        <f t="shared" si="2"/>
        <v>0.04</v>
      </c>
      <c r="F60" s="5" t="str">
        <f t="shared" si="3"/>
        <v>MATCHED</v>
      </c>
    </row>
    <row r="61">
      <c r="A61" s="5" t="str">
        <f>General_Ledger_Data!A61</f>
        <v>TXN-1060</v>
      </c>
      <c r="B61" s="5">
        <f>Formula_Repair_Engine!G61</f>
        <v>4060</v>
      </c>
      <c r="C61" s="5">
        <f>General_Ledger_Data!H61</f>
        <v>4060</v>
      </c>
      <c r="D61" s="5">
        <f t="shared" si="1"/>
        <v>0</v>
      </c>
      <c r="E61" s="5">
        <f t="shared" si="2"/>
        <v>0.04</v>
      </c>
      <c r="F61" s="5" t="str">
        <f t="shared" si="3"/>
        <v>MATCHED</v>
      </c>
    </row>
    <row r="62">
      <c r="A62" s="5" t="str">
        <f>General_Ledger_Data!A62</f>
        <v>TXN-1061</v>
      </c>
      <c r="B62" s="5">
        <f>Formula_Repair_Engine!G62</f>
        <v>7130</v>
      </c>
      <c r="C62" s="5">
        <f>General_Ledger_Data!H62</f>
        <v>7130</v>
      </c>
      <c r="D62" s="5">
        <f t="shared" si="1"/>
        <v>0</v>
      </c>
      <c r="E62" s="5">
        <f t="shared" si="2"/>
        <v>0.04</v>
      </c>
      <c r="F62" s="5" t="str">
        <f t="shared" si="3"/>
        <v>MATCHED</v>
      </c>
    </row>
    <row r="63">
      <c r="A63" s="5" t="str">
        <f>General_Ledger_Data!A63</f>
        <v>TXN-1062</v>
      </c>
      <c r="B63" s="5">
        <f>Formula_Repair_Engine!G63</f>
        <v>51000</v>
      </c>
      <c r="C63" s="5">
        <f>General_Ledger_Data!H63</f>
        <v>51000.08</v>
      </c>
      <c r="D63" s="5">
        <f t="shared" si="1"/>
        <v>0.08</v>
      </c>
      <c r="E63" s="5">
        <f t="shared" si="2"/>
        <v>0.04</v>
      </c>
      <c r="F63" s="5" t="str">
        <f t="shared" si="3"/>
        <v>VARIANCE DETECTED</v>
      </c>
    </row>
    <row r="64">
      <c r="A64" s="5" t="str">
        <f>General_Ledger_Data!A64</f>
        <v>TXN-1063</v>
      </c>
      <c r="B64" s="5">
        <f>Formula_Repair_Engine!G64</f>
        <v>0</v>
      </c>
      <c r="C64" s="5">
        <f>General_Ledger_Data!H64</f>
        <v>440</v>
      </c>
      <c r="D64" s="5">
        <f t="shared" si="1"/>
        <v>440</v>
      </c>
      <c r="E64" s="5">
        <f t="shared" si="2"/>
        <v>0.04</v>
      </c>
      <c r="F64" s="5" t="str">
        <f t="shared" si="3"/>
        <v>VARIANCE DETECTED</v>
      </c>
    </row>
    <row r="65">
      <c r="A65" s="5" t="str">
        <f>General_Ledger_Data!A65</f>
        <v>TXN-1064</v>
      </c>
      <c r="B65" s="5">
        <f>Formula_Repair_Engine!G65</f>
        <v>7000</v>
      </c>
      <c r="C65" s="5">
        <f>General_Ledger_Data!H65</f>
        <v>7000</v>
      </c>
      <c r="D65" s="5">
        <f t="shared" si="1"/>
        <v>0</v>
      </c>
      <c r="E65" s="5">
        <f t="shared" si="2"/>
        <v>0.04</v>
      </c>
      <c r="F65" s="5" t="str">
        <f t="shared" si="3"/>
        <v>MATCHED</v>
      </c>
    </row>
    <row r="66">
      <c r="A66" s="5" t="str">
        <f>General_Ledger_Data!A66</f>
        <v>TXN-1065</v>
      </c>
      <c r="B66" s="5">
        <f>Formula_Repair_Engine!G66</f>
        <v>9500</v>
      </c>
      <c r="C66" s="5">
        <f>General_Ledger_Data!H66</f>
        <v>9500</v>
      </c>
      <c r="D66" s="5">
        <f t="shared" si="1"/>
        <v>0</v>
      </c>
      <c r="E66" s="5">
        <f t="shared" si="2"/>
        <v>0.04</v>
      </c>
      <c r="F66" s="5" t="str">
        <f t="shared" si="3"/>
        <v>MATCHED</v>
      </c>
    </row>
    <row r="67">
      <c r="A67" s="5" t="str">
        <f>General_Ledger_Data!A67</f>
        <v>TXN-1066</v>
      </c>
      <c r="B67" s="5">
        <f>Formula_Repair_Engine!G67</f>
        <v>0</v>
      </c>
      <c r="C67" s="5">
        <f>General_Ledger_Data!H67</f>
        <v>3200</v>
      </c>
      <c r="D67" s="5">
        <f t="shared" si="1"/>
        <v>3200</v>
      </c>
      <c r="E67" s="5">
        <f t="shared" si="2"/>
        <v>0.04</v>
      </c>
      <c r="F67" s="5" t="str">
        <f t="shared" si="3"/>
        <v>VARIANCE DETECTED</v>
      </c>
    </row>
    <row r="68">
      <c r="A68" s="5" t="str">
        <f>General_Ledger_Data!A68</f>
        <v>TXN-1067</v>
      </c>
      <c r="B68" s="5">
        <f>Formula_Repair_Engine!G68</f>
        <v>6960</v>
      </c>
      <c r="C68" s="5">
        <f>General_Ledger_Data!H68</f>
        <v>6960</v>
      </c>
      <c r="D68" s="5">
        <f t="shared" si="1"/>
        <v>0</v>
      </c>
      <c r="E68" s="5">
        <f t="shared" si="2"/>
        <v>0.04</v>
      </c>
      <c r="F68" s="5" t="str">
        <f t="shared" si="3"/>
        <v>MATCHED</v>
      </c>
    </row>
    <row r="69">
      <c r="A69" s="5" t="str">
        <f>General_Ledger_Data!A69</f>
        <v>TXN-1068</v>
      </c>
      <c r="B69" s="5">
        <f>Formula_Repair_Engine!G69</f>
        <v>0</v>
      </c>
      <c r="C69" s="5">
        <f>General_Ledger_Data!H69</f>
        <v>0</v>
      </c>
      <c r="D69" s="5">
        <f t="shared" si="1"/>
        <v>0</v>
      </c>
      <c r="E69" s="5">
        <f t="shared" si="2"/>
        <v>0.04</v>
      </c>
      <c r="F69" s="5" t="str">
        <f t="shared" si="3"/>
        <v>MATCHED</v>
      </c>
    </row>
    <row r="70">
      <c r="A70" s="5" t="str">
        <f>General_Ledger_Data!A70</f>
        <v>TXN-1069</v>
      </c>
      <c r="B70" s="5">
        <f>Formula_Repair_Engine!G70</f>
        <v>0</v>
      </c>
      <c r="C70" s="5">
        <f>General_Ledger_Data!H70</f>
        <v>4000</v>
      </c>
      <c r="D70" s="5">
        <f t="shared" si="1"/>
        <v>4000</v>
      </c>
      <c r="E70" s="5">
        <f t="shared" si="2"/>
        <v>0.04</v>
      </c>
      <c r="F70" s="5" t="str">
        <f t="shared" si="3"/>
        <v>VARIANCE DETECTED</v>
      </c>
    </row>
    <row r="71">
      <c r="A71" s="5" t="str">
        <f>General_Ledger_Data!A71</f>
        <v>TXN-1070</v>
      </c>
      <c r="B71" s="5">
        <f>Formula_Repair_Engine!G71</f>
        <v>5775</v>
      </c>
      <c r="C71" s="5">
        <f>General_Ledger_Data!H71</f>
        <v>5775</v>
      </c>
      <c r="D71" s="5">
        <f t="shared" si="1"/>
        <v>0</v>
      </c>
      <c r="E71" s="5">
        <f t="shared" si="2"/>
        <v>0.04</v>
      </c>
      <c r="F71" s="5" t="str">
        <f t="shared" si="3"/>
        <v>MATCHED</v>
      </c>
    </row>
    <row r="72">
      <c r="A72" s="5" t="str">
        <f>General_Ledger_Data!A72</f>
        <v>TXN-1071</v>
      </c>
      <c r="B72" s="5">
        <f>Formula_Repair_Engine!G72</f>
        <v>6760</v>
      </c>
      <c r="C72" s="5">
        <f>General_Ledger_Data!H72</f>
        <v>6760</v>
      </c>
      <c r="D72" s="5">
        <f t="shared" si="1"/>
        <v>0</v>
      </c>
      <c r="E72" s="5">
        <f t="shared" si="2"/>
        <v>0.04</v>
      </c>
      <c r="F72" s="5" t="str">
        <f t="shared" si="3"/>
        <v>MATCHED</v>
      </c>
    </row>
    <row r="73">
      <c r="A73" s="5" t="str">
        <f>General_Ledger_Data!A73</f>
        <v>TXN-1072</v>
      </c>
      <c r="B73" s="5">
        <f>Formula_Repair_Engine!G73</f>
        <v>23400</v>
      </c>
      <c r="C73" s="5">
        <f>General_Ledger_Data!H73</f>
        <v>23400</v>
      </c>
      <c r="D73" s="5">
        <f t="shared" si="1"/>
        <v>0</v>
      </c>
      <c r="E73" s="5">
        <f t="shared" si="2"/>
        <v>0.04</v>
      </c>
      <c r="F73" s="5" t="str">
        <f t="shared" si="3"/>
        <v>MATCHED</v>
      </c>
    </row>
    <row r="74">
      <c r="A74" s="5" t="str">
        <f>General_Ledger_Data!A74</f>
        <v>TXN-1073</v>
      </c>
      <c r="B74" s="5">
        <f>Formula_Repair_Engine!G74</f>
        <v>5880</v>
      </c>
      <c r="C74" s="5">
        <f>General_Ledger_Data!H74</f>
        <v>5880</v>
      </c>
      <c r="D74" s="5">
        <f t="shared" si="1"/>
        <v>0</v>
      </c>
      <c r="E74" s="5">
        <f t="shared" si="2"/>
        <v>0.04</v>
      </c>
      <c r="F74" s="5" t="str">
        <f t="shared" si="3"/>
        <v>MATCHED</v>
      </c>
    </row>
    <row r="75">
      <c r="A75" s="5" t="str">
        <f>General_Ledger_Data!A75</f>
        <v>TXN-1074</v>
      </c>
      <c r="B75" s="5">
        <f>Formula_Repair_Engine!G75</f>
        <v>0</v>
      </c>
      <c r="C75" s="5">
        <f>General_Ledger_Data!H75</f>
        <v>4200</v>
      </c>
      <c r="D75" s="5">
        <f t="shared" si="1"/>
        <v>4200</v>
      </c>
      <c r="E75" s="5">
        <f t="shared" si="2"/>
        <v>0.04</v>
      </c>
      <c r="F75" s="5" t="str">
        <f t="shared" si="3"/>
        <v>VARIANCE DETECTED</v>
      </c>
    </row>
    <row r="76">
      <c r="A76" s="5" t="str">
        <f>General_Ledger_Data!A76</f>
        <v>TXN-1075</v>
      </c>
      <c r="B76" s="5">
        <f>Formula_Repair_Engine!G76</f>
        <v>10850</v>
      </c>
      <c r="C76" s="5">
        <f>General_Ledger_Data!H76</f>
        <v>10850</v>
      </c>
      <c r="D76" s="5">
        <f t="shared" si="1"/>
        <v>0</v>
      </c>
      <c r="E76" s="5">
        <f t="shared" si="2"/>
        <v>0.04</v>
      </c>
      <c r="F76" s="5" t="str">
        <f t="shared" si="3"/>
        <v>MATCHED</v>
      </c>
    </row>
    <row r="77">
      <c r="A77" s="5" t="str">
        <f>General_Ledger_Data!A77</f>
        <v>TXN-1076</v>
      </c>
      <c r="B77" s="5">
        <f>Formula_Repair_Engine!G77</f>
        <v>0</v>
      </c>
      <c r="C77" s="5">
        <f>General_Ledger_Data!H77</f>
        <v>6000</v>
      </c>
      <c r="D77" s="5">
        <f t="shared" si="1"/>
        <v>6000</v>
      </c>
      <c r="E77" s="5">
        <f t="shared" si="2"/>
        <v>0.04</v>
      </c>
      <c r="F77" s="5" t="str">
        <f t="shared" si="3"/>
        <v>VARIANCE DETECTED</v>
      </c>
    </row>
    <row r="78">
      <c r="A78" s="5" t="str">
        <f>General_Ledger_Data!A78</f>
        <v>TXN-1077</v>
      </c>
      <c r="B78" s="5">
        <f>Formula_Repair_Engine!G78</f>
        <v>18525</v>
      </c>
      <c r="C78" s="5">
        <f>General_Ledger_Data!H78</f>
        <v>18525</v>
      </c>
      <c r="D78" s="5">
        <f t="shared" si="1"/>
        <v>0</v>
      </c>
      <c r="E78" s="5">
        <f t="shared" si="2"/>
        <v>0.04</v>
      </c>
      <c r="F78" s="5" t="str">
        <f t="shared" si="3"/>
        <v>MATCHED</v>
      </c>
    </row>
    <row r="79">
      <c r="A79" s="5" t="str">
        <f>General_Ledger_Data!A79</f>
        <v>TXN-1078</v>
      </c>
      <c r="B79" s="5">
        <f>Formula_Repair_Engine!G79</f>
        <v>0</v>
      </c>
      <c r="C79" s="5">
        <f>General_Ledger_Data!H79</f>
        <v>0</v>
      </c>
      <c r="D79" s="5">
        <f t="shared" si="1"/>
        <v>0</v>
      </c>
      <c r="E79" s="5">
        <f t="shared" si="2"/>
        <v>0.04</v>
      </c>
      <c r="F79" s="5" t="str">
        <f t="shared" si="3"/>
        <v>MATCHED</v>
      </c>
    </row>
    <row r="80">
      <c r="A80" s="5" t="str">
        <f>General_Ledger_Data!A80</f>
        <v>TXN-1079</v>
      </c>
      <c r="B80" s="5">
        <f>Formula_Repair_Engine!G80</f>
        <v>8410</v>
      </c>
      <c r="C80" s="5">
        <f>General_Ledger_Data!H80</f>
        <v>8410</v>
      </c>
      <c r="D80" s="5">
        <f t="shared" si="1"/>
        <v>0</v>
      </c>
      <c r="E80" s="5">
        <f t="shared" si="2"/>
        <v>0.04</v>
      </c>
      <c r="F80" s="5" t="str">
        <f t="shared" si="3"/>
        <v>MATCHED</v>
      </c>
    </row>
    <row r="81">
      <c r="A81" s="5" t="str">
        <f>General_Ledger_Data!A81</f>
        <v>TXN-1080</v>
      </c>
      <c r="B81" s="5">
        <f>Formula_Repair_Engine!G81</f>
        <v>4620</v>
      </c>
      <c r="C81" s="5">
        <f>General_Ledger_Data!H81</f>
        <v>4620</v>
      </c>
      <c r="D81" s="5">
        <f t="shared" si="1"/>
        <v>0</v>
      </c>
      <c r="E81" s="5">
        <f t="shared" si="2"/>
        <v>0.04</v>
      </c>
      <c r="F81" s="5" t="str">
        <f t="shared" si="3"/>
        <v>MATCHED</v>
      </c>
    </row>
    <row r="82">
      <c r="A82" s="5" t="str">
        <f>General_Ledger_Data!A82</f>
        <v>TXN-1081</v>
      </c>
      <c r="B82" s="5">
        <f>Formula_Repair_Engine!G82</f>
        <v>6840</v>
      </c>
      <c r="C82" s="5">
        <f>General_Ledger_Data!H82</f>
        <v>6840</v>
      </c>
      <c r="D82" s="5">
        <f t="shared" si="1"/>
        <v>0</v>
      </c>
      <c r="E82" s="5">
        <f t="shared" si="2"/>
        <v>0.04</v>
      </c>
      <c r="F82" s="5" t="str">
        <f t="shared" si="3"/>
        <v>MATCHED</v>
      </c>
    </row>
    <row r="83">
      <c r="A83" s="5" t="str">
        <f>General_Ledger_Data!A83</f>
        <v>TXN-1082</v>
      </c>
      <c r="B83" s="5">
        <f>Formula_Repair_Engine!G83</f>
        <v>28900</v>
      </c>
      <c r="C83" s="5">
        <f>General_Ledger_Data!H83</f>
        <v>28900</v>
      </c>
      <c r="D83" s="5">
        <f t="shared" si="1"/>
        <v>0</v>
      </c>
      <c r="E83" s="5">
        <f t="shared" si="2"/>
        <v>0.04</v>
      </c>
      <c r="F83" s="5" t="str">
        <f t="shared" si="3"/>
        <v>MATCHED</v>
      </c>
    </row>
    <row r="84">
      <c r="A84" s="5" t="str">
        <f>General_Ledger_Data!A84</f>
        <v>TXN-1083</v>
      </c>
      <c r="B84" s="5">
        <f>Formula_Repair_Engine!G84</f>
        <v>0</v>
      </c>
      <c r="C84" s="5">
        <f>General_Ledger_Data!H84</f>
        <v>800</v>
      </c>
      <c r="D84" s="5">
        <f t="shared" si="1"/>
        <v>800</v>
      </c>
      <c r="E84" s="5">
        <f t="shared" si="2"/>
        <v>0.04</v>
      </c>
      <c r="F84" s="5" t="str">
        <f t="shared" si="3"/>
        <v>VARIANCE DETECTED</v>
      </c>
    </row>
    <row r="85">
      <c r="A85" s="5" t="str">
        <f>General_Ledger_Data!A85</f>
        <v>TXN-1084</v>
      </c>
      <c r="B85" s="5">
        <f>Formula_Repair_Engine!G85</f>
        <v>11250</v>
      </c>
      <c r="C85" s="5">
        <f>General_Ledger_Data!H85</f>
        <v>11250</v>
      </c>
      <c r="D85" s="5">
        <f t="shared" si="1"/>
        <v>0</v>
      </c>
      <c r="E85" s="5">
        <f t="shared" si="2"/>
        <v>0.04</v>
      </c>
      <c r="F85" s="5" t="str">
        <f t="shared" si="3"/>
        <v>MATCHED</v>
      </c>
    </row>
    <row r="86">
      <c r="A86" s="5" t="str">
        <f>General_Ledger_Data!A86</f>
        <v>TXN-1085</v>
      </c>
      <c r="B86" s="5">
        <f>Formula_Repair_Engine!G86</f>
        <v>11000</v>
      </c>
      <c r="C86" s="5">
        <f>General_Ledger_Data!H86</f>
        <v>11000</v>
      </c>
      <c r="D86" s="5">
        <f t="shared" si="1"/>
        <v>0</v>
      </c>
      <c r="E86" s="5">
        <f t="shared" si="2"/>
        <v>0.04</v>
      </c>
      <c r="F86" s="5" t="str">
        <f t="shared" si="3"/>
        <v>MATCHED</v>
      </c>
    </row>
    <row r="87">
      <c r="A87" s="5" t="str">
        <f>General_Ledger_Data!A87</f>
        <v>TXN-1086</v>
      </c>
      <c r="B87" s="5">
        <f>Formula_Repair_Engine!G87</f>
        <v>0</v>
      </c>
      <c r="C87" s="5">
        <f>General_Ledger_Data!H87</f>
        <v>3500</v>
      </c>
      <c r="D87" s="5">
        <f t="shared" si="1"/>
        <v>3500</v>
      </c>
      <c r="E87" s="5">
        <f t="shared" si="2"/>
        <v>0.04</v>
      </c>
      <c r="F87" s="5" t="str">
        <f t="shared" si="3"/>
        <v>VARIANCE DETECTED</v>
      </c>
    </row>
    <row r="88">
      <c r="A88" s="5" t="str">
        <f>General_Ledger_Data!A88</f>
        <v>TXN-1087</v>
      </c>
      <c r="B88" s="5">
        <f>Formula_Repair_Engine!G88</f>
        <v>6200</v>
      </c>
      <c r="C88" s="5">
        <f>General_Ledger_Data!H88</f>
        <v>6200</v>
      </c>
      <c r="D88" s="5">
        <f t="shared" si="1"/>
        <v>0</v>
      </c>
      <c r="E88" s="5">
        <f t="shared" si="2"/>
        <v>0.04</v>
      </c>
      <c r="F88" s="5" t="str">
        <f t="shared" si="3"/>
        <v>MATCHED</v>
      </c>
    </row>
    <row r="89">
      <c r="A89" s="5" t="str">
        <f>General_Ledger_Data!A89</f>
        <v>TXN-1088</v>
      </c>
      <c r="B89" s="5">
        <f>Formula_Repair_Engine!G89</f>
        <v>0</v>
      </c>
      <c r="C89" s="5">
        <f>General_Ledger_Data!H89</f>
        <v>0</v>
      </c>
      <c r="D89" s="5">
        <f t="shared" si="1"/>
        <v>0</v>
      </c>
      <c r="E89" s="5">
        <f t="shared" si="2"/>
        <v>0.04</v>
      </c>
      <c r="F89" s="5" t="str">
        <f t="shared" si="3"/>
        <v>MATCHED</v>
      </c>
    </row>
    <row r="90">
      <c r="A90" s="5" t="str">
        <f>General_Ledger_Data!A90</f>
        <v>TXN-1089</v>
      </c>
      <c r="B90" s="5">
        <f>Formula_Repair_Engine!G90</f>
        <v>9900</v>
      </c>
      <c r="C90" s="5">
        <f>General_Ledger_Data!H90</f>
        <v>9900</v>
      </c>
      <c r="D90" s="5">
        <f t="shared" si="1"/>
        <v>0</v>
      </c>
      <c r="E90" s="5">
        <f t="shared" si="2"/>
        <v>0.04</v>
      </c>
      <c r="F90" s="5" t="str">
        <f t="shared" si="3"/>
        <v>MATCHED</v>
      </c>
    </row>
    <row r="91">
      <c r="A91" s="5" t="str">
        <f>General_Ledger_Data!A91</f>
        <v>TXN-1090</v>
      </c>
      <c r="B91" s="5">
        <f>Formula_Repair_Engine!G91</f>
        <v>4100</v>
      </c>
      <c r="C91" s="5">
        <f>General_Ledger_Data!H91</f>
        <v>4100</v>
      </c>
      <c r="D91" s="5">
        <f t="shared" si="1"/>
        <v>0</v>
      </c>
      <c r="E91" s="5">
        <f t="shared" si="2"/>
        <v>0.04</v>
      </c>
      <c r="F91" s="5" t="str">
        <f t="shared" si="3"/>
        <v>MATCHED</v>
      </c>
    </row>
    <row r="92">
      <c r="A92" s="5" t="str">
        <f>General_Ledger_Data!A92</f>
        <v>TXN-1091</v>
      </c>
      <c r="B92" s="5">
        <f>Formula_Repair_Engine!G92</f>
        <v>7140</v>
      </c>
      <c r="C92" s="5">
        <f>General_Ledger_Data!H92</f>
        <v>7140</v>
      </c>
      <c r="D92" s="5">
        <f t="shared" si="1"/>
        <v>0</v>
      </c>
      <c r="E92" s="5">
        <f t="shared" si="2"/>
        <v>0.04</v>
      </c>
      <c r="F92" s="5" t="str">
        <f t="shared" si="3"/>
        <v>MATCHED</v>
      </c>
    </row>
    <row r="93">
      <c r="A93" s="5" t="str">
        <f>General_Ledger_Data!A93</f>
        <v>TXN-1092</v>
      </c>
      <c r="B93" s="5">
        <f>Formula_Repair_Engine!G93</f>
        <v>37400</v>
      </c>
      <c r="C93" s="5">
        <f>General_Ledger_Data!H93</f>
        <v>37400.12</v>
      </c>
      <c r="D93" s="5">
        <f t="shared" si="1"/>
        <v>0.12</v>
      </c>
      <c r="E93" s="5">
        <f t="shared" si="2"/>
        <v>0.04</v>
      </c>
      <c r="F93" s="5" t="str">
        <f t="shared" si="3"/>
        <v>VARIANCE DETECTED</v>
      </c>
    </row>
    <row r="94">
      <c r="A94" s="5" t="str">
        <f>General_Ledger_Data!A94</f>
        <v>TXN-1093</v>
      </c>
      <c r="B94" s="5">
        <f>Formula_Repair_Engine!G94</f>
        <v>5600</v>
      </c>
      <c r="C94" s="5">
        <f>General_Ledger_Data!H94</f>
        <v>5600</v>
      </c>
      <c r="D94" s="5">
        <f t="shared" si="1"/>
        <v>0</v>
      </c>
      <c r="E94" s="5">
        <f t="shared" si="2"/>
        <v>0.04</v>
      </c>
      <c r="F94" s="5" t="str">
        <f t="shared" si="3"/>
        <v>MATCHED</v>
      </c>
    </row>
    <row r="95">
      <c r="A95" s="5" t="str">
        <f>General_Ledger_Data!A95</f>
        <v>TXN-1094</v>
      </c>
      <c r="B95" s="5">
        <f>Formula_Repair_Engine!G95</f>
        <v>0</v>
      </c>
      <c r="C95" s="5">
        <f>General_Ledger_Data!H95</f>
        <v>2500</v>
      </c>
      <c r="D95" s="5">
        <f t="shared" si="1"/>
        <v>2500</v>
      </c>
      <c r="E95" s="5">
        <f t="shared" si="2"/>
        <v>0.04</v>
      </c>
      <c r="F95" s="5" t="str">
        <f t="shared" si="3"/>
        <v>VARIANCE DETECTED</v>
      </c>
    </row>
    <row r="96">
      <c r="A96" s="5" t="str">
        <f>General_Ledger_Data!A96</f>
        <v>TXN-1095</v>
      </c>
      <c r="B96" s="5">
        <f>Formula_Repair_Engine!G96</f>
        <v>9800</v>
      </c>
      <c r="C96" s="5">
        <f>General_Ledger_Data!H96</f>
        <v>9800</v>
      </c>
      <c r="D96" s="5">
        <f t="shared" si="1"/>
        <v>0</v>
      </c>
      <c r="E96" s="5">
        <f t="shared" si="2"/>
        <v>0.04</v>
      </c>
      <c r="F96" s="5" t="str">
        <f t="shared" si="3"/>
        <v>MATCHED</v>
      </c>
    </row>
    <row r="97">
      <c r="A97" s="5" t="str">
        <f>General_Ledger_Data!A97</f>
        <v>TXN-1096</v>
      </c>
      <c r="B97" s="5">
        <f>Formula_Repair_Engine!G97</f>
        <v>0</v>
      </c>
      <c r="C97" s="5">
        <f>General_Ledger_Data!H97</f>
        <v>5000</v>
      </c>
      <c r="D97" s="5">
        <f t="shared" si="1"/>
        <v>5000</v>
      </c>
      <c r="E97" s="5">
        <f t="shared" si="2"/>
        <v>0.04</v>
      </c>
      <c r="F97" s="5" t="str">
        <f t="shared" si="3"/>
        <v>VARIANCE DETECTED</v>
      </c>
    </row>
    <row r="98">
      <c r="A98" s="5" t="str">
        <f>General_Ledger_Data!A98</f>
        <v>TXN-1097</v>
      </c>
      <c r="B98" s="5">
        <f>Formula_Repair_Engine!G98</f>
        <v>17250</v>
      </c>
      <c r="C98" s="5">
        <f>General_Ledger_Data!H98</f>
        <v>17250</v>
      </c>
      <c r="D98" s="5">
        <f t="shared" si="1"/>
        <v>0</v>
      </c>
      <c r="E98" s="5">
        <f t="shared" si="2"/>
        <v>0.04</v>
      </c>
      <c r="F98" s="5" t="str">
        <f t="shared" si="3"/>
        <v>MATCHED</v>
      </c>
    </row>
    <row r="99">
      <c r="A99" s="5" t="str">
        <f>General_Ledger_Data!A99</f>
        <v>TXN-1098</v>
      </c>
      <c r="B99" s="5">
        <f>Formula_Repair_Engine!G99</f>
        <v>0</v>
      </c>
      <c r="C99" s="5">
        <f>General_Ledger_Data!H99</f>
        <v>0</v>
      </c>
      <c r="D99" s="5">
        <f t="shared" si="1"/>
        <v>0</v>
      </c>
      <c r="E99" s="5">
        <f t="shared" si="2"/>
        <v>0.04</v>
      </c>
      <c r="F99" s="5" t="str">
        <f t="shared" si="3"/>
        <v>MATCHED</v>
      </c>
    </row>
    <row r="100">
      <c r="A100" s="5" t="str">
        <f>General_Ledger_Data!A100</f>
        <v>TXN-1099</v>
      </c>
      <c r="B100" s="5">
        <f>Formula_Repair_Engine!G100</f>
        <v>7700</v>
      </c>
      <c r="C100" s="5">
        <f>General_Ledger_Data!H100</f>
        <v>7700</v>
      </c>
      <c r="D100" s="5">
        <f t="shared" si="1"/>
        <v>0</v>
      </c>
      <c r="E100" s="5">
        <f t="shared" si="2"/>
        <v>0.04</v>
      </c>
      <c r="F100" s="5" t="str">
        <f t="shared" si="3"/>
        <v>MATCHED</v>
      </c>
    </row>
    <row r="101">
      <c r="A101" s="5" t="str">
        <f>General_Ledger_Data!A101</f>
        <v>TXN-1100</v>
      </c>
      <c r="B101" s="5">
        <f>Formula_Repair_Engine!G101</f>
        <v>4500</v>
      </c>
      <c r="C101" s="5">
        <f>General_Ledger_Data!H101</f>
        <v>4500</v>
      </c>
      <c r="D101" s="5">
        <f t="shared" si="1"/>
        <v>0</v>
      </c>
      <c r="E101" s="5">
        <f t="shared" si="2"/>
        <v>0.04</v>
      </c>
      <c r="F101" s="5" t="str">
        <f t="shared" si="3"/>
        <v>MATCHED</v>
      </c>
    </row>
  </sheetData>
  <conditionalFormatting sqref="A2:F101">
    <cfRule type="expression" dxfId="0" priority="1">
      <formula>ISEVEN(ROW())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1.0"/>
    <col customWidth="1" min="3" max="3" width="19.13"/>
    <col customWidth="1" min="4" max="4" width="23.0"/>
  </cols>
  <sheetData>
    <row r="1">
      <c r="A1" s="7" t="s">
        <v>70</v>
      </c>
      <c r="E1" s="8"/>
      <c r="F1" s="8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/>
      <c r="B2" s="9"/>
      <c r="C2" s="9"/>
      <c r="D2" s="9"/>
      <c r="E2" s="9"/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91</v>
      </c>
      <c r="B3" s="10" t="s">
        <v>96</v>
      </c>
      <c r="C3" s="10" t="s">
        <v>99</v>
      </c>
      <c r="D3" s="10" t="s">
        <v>100</v>
      </c>
      <c r="E3" s="9"/>
      <c r="F3" s="9"/>
      <c r="G3" s="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>
        <f>COUNTA(General_Ledger_Data!A2:A101)</f>
        <v>100</v>
      </c>
      <c r="B4" s="11">
        <f>COUNTIF(Formula_Repair_Engine!H2:H101, "REPAIRED")</f>
        <v>34</v>
      </c>
      <c r="C4" s="11">
        <f>COUNTIF(Reconciliation_Matrix!F2:F101, "VARIANCE DETECTED")</f>
        <v>27</v>
      </c>
      <c r="D4" s="11">
        <f>(1 - (B4 / A4))</f>
        <v>0.66</v>
      </c>
      <c r="E4" s="9"/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/>
      <c r="B5" s="9"/>
      <c r="C5" s="9"/>
      <c r="D5" s="9"/>
      <c r="E5" s="9"/>
      <c r="F5" s="9"/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9"/>
      <c r="C7" s="9"/>
      <c r="D7" s="9"/>
      <c r="E7" s="9"/>
      <c r="F7" s="9"/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9"/>
      <c r="D8" s="9"/>
      <c r="E8" s="9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9"/>
      <c r="D9" s="9"/>
      <c r="E9" s="9"/>
      <c r="F9" s="9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9"/>
      <c r="D10" s="9"/>
      <c r="E10" s="9"/>
      <c r="F10" s="9"/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9"/>
      <c r="D11" s="9"/>
      <c r="E11" s="9"/>
      <c r="F11" s="9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9"/>
      <c r="D12" s="9"/>
      <c r="E12" s="9"/>
      <c r="F12" s="9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9"/>
      <c r="D13" s="9"/>
      <c r="E13" s="9"/>
      <c r="F13" s="9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D1"/>
  </mergeCells>
  <drawing r:id="rId1"/>
</worksheet>
</file>